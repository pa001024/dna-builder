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heme/theme1.xml" ContentType="application/vnd.openxmlformats-officedocument.theme+xml"/>
  <Override PartName="/xl/woinfos.xml" ContentType="application/vnd.wps-officedocument.woinfo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yWindow="525" windowWidth="29505" windowHeight="18495" activeTab="12"/>
  </bookViews>
  <sheets>
    <sheet name="伤害计算" sheetId="1" r:id="rId1"/>
    <sheet name="怪物" sheetId="16" r:id="rId2"/>
    <sheet name="血量曲线" sheetId="21" r:id="rId3"/>
    <sheet name="角色" sheetId="2" r:id="rId4"/>
    <sheet name="技能" sheetId="11" r:id="rId5"/>
    <sheet name="BUFF" sheetId="6" r:id="rId6"/>
    <sheet name="烛芯" sheetId="17" r:id="rId7"/>
    <sheet name="代码" sheetId="18" r:id="rId8"/>
    <sheet name="角色MOD" sheetId="3" r:id="rId9"/>
    <sheet name="武器MOD" sheetId="8" r:id="rId10"/>
    <sheet name="武器" sheetId="4" r:id="rId11"/>
    <sheet name="远程武器" sheetId="5" state="hidden" r:id="rId12"/>
    <sheet name="近战倍率" sheetId="14" r:id="rId13"/>
    <sheet name="远程倍率" sheetId="15" r:id="rId14"/>
    <sheet name="同律倍率" sheetId="19" r:id="rId15"/>
  </sheets>
  <definedNames>
    <definedName name="_xlnm._FilterDatabase" localSheetId="0" hidden="1">伤害计算!$D$39:$AH$47</definedName>
    <definedName name="_FX1" localSheetId="0">伤害计算!$BK:$BK</definedName>
    <definedName name="_FX10" localSheetId="0">伤害计算!$BT:$BT</definedName>
    <definedName name="_FX11" localSheetId="0">伤害计算!$BU:$BU</definedName>
    <definedName name="_FX12" localSheetId="0">伤害计算!$BV:$BV</definedName>
    <definedName name="_FX13" localSheetId="0">伤害计算!$BW:$BW</definedName>
    <definedName name="_FX14" localSheetId="0">伤害计算!$BX:$BX</definedName>
    <definedName name="_FX15" localSheetId="0">伤害计算!$BY:$BY</definedName>
    <definedName name="_FX2" localSheetId="0">伤害计算!$BL:$BL</definedName>
    <definedName name="_FX3" localSheetId="0">伤害计算!$BN:$BN</definedName>
    <definedName name="_FX4" localSheetId="0">伤害计算!$BN:$BN</definedName>
    <definedName name="_FX5" localSheetId="0">伤害计算!$BO:$BO</definedName>
    <definedName name="_FX6" localSheetId="0">伤害计算!$BP:$BP</definedName>
    <definedName name="_FX7" localSheetId="0">伤害计算!$BQ:$BQ</definedName>
    <definedName name="_FX8" localSheetId="0">伤害计算!$BR:$BR</definedName>
    <definedName name="_FX9" localSheetId="0">伤害计算!$BS:$BS</definedName>
    <definedName name="BUFF" localSheetId="0">伤害计算!$E$19:$E$33</definedName>
    <definedName name="BUFF层数乘数" localSheetId="0">IFERROR(_xlfn.MAP(表取值(伤害计算!BUFF,BUFF表[],BUFF表[#Headers],"a"),表取值(伤害计算!BUFF,BUFF表[],BUFF表[#Headers],"b"),OFFSET(伤害计算!BUFF,0,1),表取值(伤害计算!BUFF,BUFF表[],BUFF表[#Headers],"dx"),表取值(伤害计算!BUFF,BUFF表[],BUFF表[#Headers],"lx"),_xlfn.LAMBDA(_xlpm.a,_xlpm.b,_xlpm.x,_xlpm.dx,_xlpm.lx,1/_xlpm.a*(1+1/_xlpm.b*(IF(_xlpm.x="",_xlpm.dx,_xlpm.x)-_xlpm.lx)))),1)</definedName>
    <definedName name="昂扬" localSheetId="0">伤害计算!$C$16</definedName>
    <definedName name="昂扬背水乘区" localSheetId="0">_xlfn.LAMBDA(_xlpm.a,_xlpm.b,(1+_xlpm.a*伤害计算!当前生命百分比)*(1+4*_xlpm.b*(1-MAX(0.25,伤害计算!当前生命百分比))*(1.5-MAX(0.25,伤害计算!当前生命百分比))))</definedName>
    <definedName name="昂扬下限">0</definedName>
    <definedName name="白">伤害计算!$BJ$1:$BJ$4</definedName>
    <definedName name="包含" comment="值是否包含于数组">_xlfn.LAMBDA(_xlpm.值,_xlpm.数组,ISNUMBER(MATCH(_xlpm.值,_xlpm.数组,0)))</definedName>
    <definedName name="背水" localSheetId="0">伤害计算!$C$17</definedName>
    <definedName name="背水下限">0</definedName>
    <definedName name="表取值">_xlfn.LAMBDA(_xlpm.键,_xlpm.表,_xlpm.表头,_xlpm.列,IFERROR(VLOOKUP(_xlpm.键,_xlpm.表,MATCH(_xlpm.列,_xlpm.表头,0),0),0))</definedName>
    <definedName name="触发乘区" localSheetId="0">_xlfn.LAMBDA(_xlpm.伤害类型,_xlpm.武器攻击,_xlpm.总攻击,_xlpm.触发率,IF(IF(_xlpm.伤害类型="贯穿","生命",IF(_xlpm.伤害类型="切割","护盾","战姿"))=伤害计算!XFA$4,_xlpm.触发率*((1+IF(_xlpm.伤害类型="贯穿",0.5,IF(_xlpm.伤害类型="切割",1,IF(_xlpm.伤害类型="震荡",1,0)))*_xlpm.武器攻击/_xlpm.总攻击)-1)+1,1))</definedName>
    <definedName name="当前生命百分比" localSheetId="0">伤害计算!$F$4</definedName>
    <definedName name="敌方等级" localSheetId="0">伤害计算!$J$3</definedName>
    <definedName name="敌方抗性" localSheetId="0">伤害计算!$M$4</definedName>
    <definedName name="范围上限">2.8</definedName>
    <definedName name="防御乘区" localSheetId="0">_xlfn.LAMBDA(_xlpm.无视防御1,1-(1-(1-伤害计算!防御系数/(30+伤害计算!防御系数-MAX(0,MIN(20,MIN(80,伤害计算!敌方等级)-伤害计算!角色等级)))))*(1-_xlpm.无视防御1))</definedName>
    <definedName name="防御系数" localSheetId="0">伤害计算!$M$3</definedName>
    <definedName name="和鸣增益" localSheetId="0">伤害计算!$H$3</definedName>
    <definedName name="基础">_xlfn.LAMBDA(_xlpm.键,IFERROR(INDIRECT("基础"&amp;_xlpm.键),1))</definedName>
    <definedName name="基础独立增伤" localSheetId="0">伤害计算!$B$19</definedName>
    <definedName name="基础防御" localSheetId="0">伤害计算!$B$10</definedName>
    <definedName name="基础攻击" localSheetId="0">伤害计算!$B$7</definedName>
    <definedName name="基础护盾" localSheetId="0">伤害计算!$B$9</definedName>
    <definedName name="基础近战暴击" localSheetId="0">伤害计算!$B$65</definedName>
    <definedName name="基础近战暴伤" localSheetId="0">伤害计算!$B$66</definedName>
    <definedName name="基础近战触发" localSheetId="0">伤害计算!$B$69</definedName>
    <definedName name="基础近战攻击" localSheetId="0">伤害计算!$B$64</definedName>
    <definedName name="基础近战攻速" localSheetId="0">伤害计算!$B$70</definedName>
    <definedName name="基础神智" localSheetId="0">伤害计算!$B$11</definedName>
    <definedName name="基础生命" localSheetId="0">伤害计算!$B$8</definedName>
    <definedName name="基础同律暴击" localSheetId="0">伤害计算!$B$129</definedName>
    <definedName name="基础同律暴伤" localSheetId="0">伤害计算!$B$130</definedName>
    <definedName name="基础同律触发" localSheetId="0">伤害计算!$B$133</definedName>
    <definedName name="基础同律多重" localSheetId="0">伤害计算!$B$136</definedName>
    <definedName name="基础同律攻击" localSheetId="0">伤害计算!$B$128</definedName>
    <definedName name="基础同律攻速" localSheetId="0">伤害计算!$B$134</definedName>
    <definedName name="基础无视防御" localSheetId="0">伤害计算!$B$33</definedName>
    <definedName name="基础远程暴击" localSheetId="0">伤害计算!$B$98</definedName>
    <definedName name="基础远程暴伤" localSheetId="0">伤害计算!$B$99</definedName>
    <definedName name="基础远程触发" localSheetId="0">伤害计算!$B$102</definedName>
    <definedName name="基础远程多重" localSheetId="0">伤害计算!$B$104</definedName>
    <definedName name="基础远程攻击" localSheetId="0">伤害计算!$B$97</definedName>
    <definedName name="基础远程攻速" localSheetId="0">伤害计算!$B$103</definedName>
    <definedName name="角色" localSheetId="0">伤害计算!$B$3</definedName>
    <definedName name="角色MOD" localSheetId="0">伤害计算!$E$7:$E$14</definedName>
    <definedName name="角色MOD等级乘数" localSheetId="0">_xlfn.MAP((伤害计算!$J$7:$J$14+1)/IF(伤害计算!$G$7:$G$14="金",11,IF(伤害计算!$G$7:$G$14="绿",4,6)),_xlfn.LAMBDA(_xlpm.a,IF(_xlpm.a&gt;1,1,_xlpm.a)))</definedName>
    <definedName name="角色等级" localSheetId="0">伤害计算!$F$3</definedName>
    <definedName name="角色攻击" localSheetId="0">伤害计算!$C$7</definedName>
    <definedName name="金">伤害计算!$BJ$1:$BJ$11</definedName>
    <definedName name="近战MOD" localSheetId="0">伤害计算!$E$63:$E$70</definedName>
    <definedName name="近战倍率" localSheetId="0">伤害计算!$C$73</definedName>
    <definedName name="近战触发" localSheetId="0">伤害计算!$C$69</definedName>
    <definedName name="近战攻击" localSheetId="0">伤害计算!$C$64</definedName>
    <definedName name="近战攻速" localSheetId="0">伤害计算!$C$70</definedName>
    <definedName name="近战精通" localSheetId="0">伤害计算!$C$62</definedName>
    <definedName name="近战连击倍率" localSheetId="0">伤害计算!$C$74</definedName>
    <definedName name="近战伤害类型" localSheetId="0">伤害计算!$B$63</definedName>
    <definedName name="近战武器" localSheetId="0">伤害计算!$B$60</definedName>
    <definedName name="近战总攻击" localSheetId="0">伤害计算!$C$72</definedName>
    <definedName name="蓝">伤害计算!$BJ$1:$BJ$6</definedName>
    <definedName name="绿">伤害计算!$BJ$1:$BJ$4</definedName>
    <definedName name="取BUFF属性" localSheetId="0">_xlfn.LAMBDA(_xlpm.属性,IFERROR(伤害计算!BUFF层数乘数*VLOOKUP(伤害计算!BUFF,BUFF表[],MATCH(_xlpm.属性,BUFF表[#Headers],0),0),0))</definedName>
    <definedName name="取乘法角色属性" localSheetId="0">_xlfn.LAMBDA(_xlpm.属性,_xlpm.删MOD,_xlpm.删BUFF,上下限(_xlpm.属性,(基础(_xlpm.属性)+1)*PRODUCT(IF((_xlpm.属性="独立增伤")*(伤害计算!中枢MOD="磐石"),1-0.15,1),伤害计算!取近战属性(_xlpm.属性)+1,伤害计算!取远程属性(_xlpm.属性)+1,取角色属性(_xlpm.属性)+1,数组删除(伤害计算!取角色MOD属性(_xlpm.属性,SUM(数组删除(伤害计算!取BUFF属性("MOD属性"),_xlpm.删BUFF)+0)),_xlpm.删MOD)+1,伤害计算!取BUFF属性(_xlpm.属性)+1)-1))</definedName>
    <definedName name="取单角色MOD属性" localSheetId="0">_xlfn.LAMBDA(_xlpm.MOD,_xlpm.属性,IFERROR(_xlfn.MAP((OFFSET(_xlpm.MOD,0,5)+1)/IF(OFFSET(_xlpm.MOD,0,2)="金",11,IF(OFFSET(_xlpm.MOD,0,2)="绿",4,6)),_xlfn.LAMBDA(_xlpm.a,IF(_xlpm.a&gt;1,1,_xlpm.a)))*IF(包含(表取值(_xlpm.MOD,角色MOD表[],角色MOD表[#Headers],"系列"),{"百首","狮鹫","契约者"}),1+SUM(伤害计算!取BUFF属性("MOD属性")+0),1)*VLOOKUP(_xlpm.MOD,角色MOD表[],MATCH(_xlpm.属性,角色MOD表[#Headers],0),0),0))</definedName>
    <definedName name="取加法角色属性" localSheetId="0">_xlfn.LAMBDA(_xlpm.属性,_xlpm.删MOD,_xlpm.删BUFF,上下限(_xlpm.属性,基础(_xlpm.属性)*SUM(IF(包含(_xlpm.属性,{"攻击","生命","护盾","防御","神智","威力","耐久","效能","范围"}),1,0),IF(包含(_xlpm.属性,{"攻击","生命","护盾","防御"}),伤害计算!和鸣增益,0),伤害计算!取近战属性(_xlpm.属性),伤害计算!取远程属性(_xlpm.属性),取角色属性(_xlpm.属性),数组删除(伤害计算!取角色MOD属性(_xlpm.属性,SUM(数组删除(伤害计算!取BUFF属性("MOD属性"),_xlpm.删BUFF)+0)),_xlpm.删MOD),数组删除(伤害计算!取BUFF属性(_xlpm.属性),_xlpm.删BUFF)+0)+SUM(数组删除(伤害计算!取角色MOD属性("固定"&amp;_xlpm.属性,SUM(数组删除(伤害计算!取BUFF属性("MOD属性"),_xlpm.删BUFF)+0)),_xlpm.删MOD),数组删除(伤害计算!取BUFF属性("固定"&amp;_xlpm.属性),_xlpm.删BUFF)+0)))</definedName>
    <definedName name="取角色MOD属性" localSheetId="0">_xlfn.LAMBDA(_xlpm.属性,_xlpm.加成,IFERROR(伤害计算!角色MOD等级乘数*_xlfn.MAP(伤害计算!角色MOD,_xlfn.LAMBDA(_xlpm.MOD,IF(包含(表取值(_xlpm.MOD,角色MOD表[],角色MOD表[#Headers],"系列"),{"百首","狮鹫","契约者"}),1+_xlpm.加成,1)))*VLOOKUP(伤害计算!角色MOD,角色MOD表[],MATCH(_xlpm.属性,角色MOD表[#Headers],0),0),0))</definedName>
    <definedName name="取角色属性">_xlfn.LAMBDA(_xlpm.属性,表取值(伤害计算!角色,角色表[],角色表[#Headers],_xlpm.属性))</definedName>
    <definedName name="取角色总属性" localSheetId="0">_xlfn.LAMBDA(_xlpm.属性,IF(包含(_xlpm.属性,{"独立增伤","无视防御"}),伤害计算!取乘法角色属性(_xlpm.属性,0,0),伤害计算!取加法角色属性(_xlpm.属性,0,0)))</definedName>
    <definedName name="取近战属性" localSheetId="0">_xlfn.LAMBDA(_xlpm.属性,(5+伤害计算!$D$60)/10*表取值(伤害计算!近战武器,近战武器表[],近战武器表[#Headers],_xlpm.属性))</definedName>
    <definedName name="取上限">_xlfn.LAMBDA(_xlpm.键,IFERROR(INDIRECT(_xlpm.键&amp;"上限"),99999999))</definedName>
    <definedName name="取武器乘法属性" localSheetId="0">_xlfn.LAMBDA(_xlpm.MOD,_xlpm.删MOD,_xlpm.删BUFF,_xlpm.属性,_xlpm.类型,PRODUCT(伤害计算!取乘法角色属性(_xlpm.属性,0,_xlpm.删BUFF)+1,数组删除(IFERROR(_xlfn.MAP((OFFSET(_xlpm.MOD,0,5)+1)/IF(OFFSET(_xlpm.MOD,0,2)="金",11,IF(OFFSET(_xlpm.MOD,0,2)="绿",4,6)),_xlfn.LAMBDA(_xlpm.a,IF(_xlpm.a&gt;1,1,_xlpm.a)))*_xlfn.MAP(_xlpm.MOD,_xlfn.LAMBDA(_xlpm.M,INDEX(武器MOD表[],MATCH(1,(武器MOD表[名称]=_xlpm.M)*(武器MOD表[类型]=_xlpm.类型),0),MATCH(_xlpm.属性,武器MOD表[#Headers],0)))),0),_xlpm.删MOD)+1,数组删除(伤害计算!取BUFF属性(IF(ISNUMBER(FIND("近战",_xlpm.类型)),"近战","远程")&amp;_xlpm.属性),_xlpm.删BUFF)+1)-1)</definedName>
    <definedName name="取武器加法属性" localSheetId="0">_xlfn.LAMBDA(_xlpm.MOD,_xlpm.删MOD,_xlpm.删BUFF,_xlpm.属性,_xlpm.类型,基础(LEFT(_xlpm.类型,2)&amp;_xlpm.属性)*SUM(IF(包含(_xlpm.属性,{"攻击","暴击","暴伤","触发","攻速","多重"}),1,0),数组删除(IFERROR(_xlfn.MAP((OFFSET(_xlpm.MOD,0,5)+1)/IF(OFFSET(_xlpm.MOD,0,2)="金",11,IF(OFFSET(_xlpm.MOD,0,2)="绿",4,6)),_xlfn.LAMBDA(_xlpm.a,IF(_xlpm.a&gt;1,1,_xlpm.a)))*_xlfn.MAP(_xlpm.MOD,_xlfn.LAMBDA(_xlpm.M,INDEX(武器MOD表[],MATCH(1,(武器MOD表[名称]=_xlpm.M)*(武器MOD表[类型]=_xlpm.类型),0),MATCH(_xlpm.属性,武器MOD表[#Headers],0)))),0),_xlpm.删MOD),IF(_xlpm.属性="攻击",INDIRECT(LEFT(_xlpm.类型,2)&amp;"精通"),伤害计算!取加法角色属性(_xlpm.属性,0,_xlpm.删BUFF)),IF(_xlpm.属性="攻击",数组删除(伤害计算!取BUFF属性("武器"&amp;_xlpm.属性),_xlpm.删BUFF),0),IF(_xlpm.属性="增伤",数组删除(伤害计算!取BUFF属性("武器伤害"),_xlpm.删BUFF),0),数组删除(伤害计算!取BUFF属性(IF(ISNUMBER(FIND("近战",_xlpm.类型)),"近战","远程")&amp;_xlpm.属性),_xlpm.删BUFF)+0))</definedName>
    <definedName name="取武器属性" localSheetId="0">_xlfn.LAMBDA(_xlpm.MOD,_xlpm.删MOD,_xlpm.删BUFF,_xlpm.属性,_xlpm.类型,IF(包含(_xlpm.属性,{"独立增伤","无视防御"}),伤害计算!取武器乘法属性(_xlpm.MOD,_xlpm.删MOD,_xlpm.删BUFF,_xlpm.属性,_xlpm.类型),伤害计算!取武器加法属性(_xlpm.MOD,_xlpm.删MOD,_xlpm.删BUFF,_xlpm.属性,_xlpm.类型)))</definedName>
    <definedName name="取下限">_xlfn.LAMBDA(_xlpm.键,IFERROR(INDIRECT(_xlpm.键&amp;"下限"),-99999999))</definedName>
    <definedName name="取远程属性" localSheetId="0">_xlfn.LAMBDA(_xlpm.属性,(5+伤害计算!$D$92)/10*表取值(伤害计算!远程武器,远程武器表[],远程武器表[#Headers],_xlpm.属性))</definedName>
    <definedName name="删BUFF取角色属性" localSheetId="0">_xlfn.LAMBDA(_xlpm.属性,_xlpm.i,IFERROR(IF(包含(_xlpm.属性,{"独立增伤","无视防御"}),伤害计算!取乘法角色属性(_xlpm.属性,0,_xlpm.i),伤害计算!取加法角色属性(_xlpm.属性,0,_xlpm.i)),伤害计算!取角色总属性(_xlpm.属性)))</definedName>
    <definedName name="删BUFF取近战属性" localSheetId="0">_xlfn.LAMBDA(_xlpm.属性,_xlpm.i,IFERROR(伤害计算!取武器属性(伤害计算!近战MOD,0,_xlpm.i,_xlpm.属性,"近战武器"),伤害计算!取武器属性(伤害计算!近战MOD,0,0,_xlpm.属性,"近战武器")))</definedName>
    <definedName name="删BUFF取同律属性" localSheetId="0">_xlfn.LAMBDA(_xlpm.属性,_xlpm.i,IFERROR(伤害计算!取武器属性(伤害计算!同律MOD,0,_xlpm.i,_xlpm.属性,伤害计算!$A$123),伤害计算!取武器属性(伤害计算!同律MOD,0,0,_xlpm.属性,伤害计算!$A$123)))</definedName>
    <definedName name="删BUFF取远程属性" localSheetId="0">_xlfn.LAMBDA(_xlpm.属性,_xlpm.i,IFERROR(伤害计算!取武器属性(伤害计算!远程MOD,0,_xlpm.i,_xlpm.属性,"远程武器"),伤害计算!取武器属性(伤害计算!远程MOD,0,0,_xlpm.属性,"远程武器")))</definedName>
    <definedName name="删MOD取角色属性" localSheetId="0">_xlfn.LAMBDA(_xlpm.属性,_xlpm.i,IFERROR(IF(包含(_xlpm.属性,{"独立增伤","无视防御"}),伤害计算!取乘法角色属性(_xlpm.属性,_xlpm.i,0),伤害计算!取加法角色属性(_xlpm.属性,_xlpm.i,0)),伤害计算!取角色总属性(_xlpm.属性)))</definedName>
    <definedName name="删MOD取近战属性" localSheetId="0">_xlfn.LAMBDA(_xlpm.属性,_xlpm.i,IFERROR(伤害计算!取武器属性(伤害计算!近战MOD,_xlpm.i,0,_xlpm.属性,"近战武器"),伤害计算!取武器属性(伤害计算!近战MOD,0,0,_xlpm.属性,"近战武器")))</definedName>
    <definedName name="删MOD取同律属性" localSheetId="0">_xlfn.LAMBDA(_xlpm.属性,_xlpm.i,IFERROR(伤害计算!取武器属性(伤害计算!同律MOD,_xlpm.i,0,_xlpm.属性,伤害计算!$A$123),伤害计算!取武器属性(伤害计算!同律MOD,0,0,_xlpm.属性,伤害计算!$A$123)))</definedName>
    <definedName name="删MOD取远程属性" localSheetId="0">_xlfn.LAMBDA(_xlpm.属性,_xlpm.i,IFERROR(伤害计算!取武器属性(伤害计算!远程MOD,_xlpm.i,0,_xlpm.属性,"远程武器"),伤害计算!取武器属性(伤害计算!远程MOD,0,0,_xlpm.属性,"远程武器")))</definedName>
    <definedName name="上下限">_xlfn.LAMBDA(_xlpm.键,_xlpm.值,MAX(MIN(_xlpm.值,取上限(_xlpm.键)),取下限(_xlpm.键)))</definedName>
    <definedName name="属性穿透" localSheetId="0">伤害计算!$C$22</definedName>
    <definedName name="数组删除">_xlfn.LAMBDA(_xlpm.数组,_xlpm.位置,_xlfn._xlws.FILTER(_xlpm.数组,_xlfn.SEQUENCE(ROWS(_xlpm.数组))&lt;&gt;_xlpm.位置))</definedName>
    <definedName name="同律MOD" localSheetId="0">伤害计算!$E$126:$E$129</definedName>
    <definedName name="同律倍率" localSheetId="0">伤害计算!$C$140</definedName>
    <definedName name="同律触发" localSheetId="0">伤害计算!$C$133</definedName>
    <definedName name="同律多重" localSheetId="0">伤害计算!$C$136</definedName>
    <definedName name="同律攻击" localSheetId="0">伤害计算!$C$128</definedName>
    <definedName name="同律攻速" localSheetId="0">伤害计算!$C$134</definedName>
    <definedName name="同律精通" localSheetId="0">伤害计算!$C$125</definedName>
    <definedName name="同律伤害类型" localSheetId="0">伤害计算!$B$126</definedName>
    <definedName name="同律总攻击" localSheetId="0">伤害计算!$C$137</definedName>
    <definedName name="无视防御" localSheetId="0">伤害计算!$C$33</definedName>
    <definedName name="无视防御上限">1</definedName>
    <definedName name="效能上限">1.75</definedName>
    <definedName name="异常数量上限">6</definedName>
    <definedName name="远程MOD" localSheetId="0">伤害计算!$E$95:$E$102</definedName>
    <definedName name="远程倍率" localSheetId="0">伤害计算!$C$106</definedName>
    <definedName name="远程多重" localSheetId="0">伤害计算!$C$104</definedName>
    <definedName name="远程攻击" localSheetId="0">伤害计算!$C$97</definedName>
    <definedName name="远程攻速" localSheetId="0">伤害计算!$C$103</definedName>
    <definedName name="远程精通" localSheetId="0">伤害计算!$C$94</definedName>
    <definedName name="远程伤害类型" localSheetId="0">伤害计算!$B$95</definedName>
    <definedName name="远程武器" localSheetId="0">伤害计算!$B$92</definedName>
    <definedName name="远程总攻击" localSheetId="0">伤害计算!$C$105</definedName>
    <definedName name="中枢MOD" localSheetId="0">伤害计算!$M$15</definedName>
    <definedName name="紫">伤害计算!$BJ$1:$BJ$6</definedName>
    <definedName name="包含" comment="值是否包含于数组" localSheetId="2">_xlfn.LAMBDA(_xlpm.值,_xlpm.数组,ISNUMBER(MATCH(_xlpm.值,_xlpm.数组,0)))</definedName>
    <definedName name="表取值" localSheetId="2">_xlfn.LAMBDA(_xlpm.键,_xlpm.表,_xlpm.表头,_xlpm.列,IFERROR(VLOOKUP(_xlpm.键,_xlpm.表,MATCH(_xlpm.列,_xlpm.表头,0),0),0))</definedName>
    <definedName name="基础" localSheetId="2">_xlfn.LAMBDA(_xlpm.键,IFERROR(INDIRECT("基础"&amp;_xlpm.键),1))</definedName>
    <definedName name="取上限" localSheetId="2">_xlfn.LAMBDA(_xlpm.键,IFERROR(INDIRECT(_xlpm.键&amp;"上限"),99999999))</definedName>
    <definedName name="取下限" localSheetId="2">_xlfn.LAMBDA(_xlpm.键,IFERROR(INDIRECT(_xlpm.键&amp;"下限"),-99999999))</definedName>
    <definedName name="数组删除" localSheetId="2">_xlfn.LAMBDA(_xlpm.数组,_xlpm.位置,_xlfn._xlws.FILTER(_xlpm.数组,_xlfn.SEQUENCE(ROWS(_xlpm.数组))&lt;&gt;_xlpm.位置))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pa</author>
  </authors>
  <commentList>
    <comment ref="A35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每3秒回复的神智</t>
        </r>
      </text>
    </comment>
    <comment ref="A36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无额外回复情况下神智耗尽所用时间</t>
        </r>
      </text>
    </comment>
    <comment ref="A39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DPMP=每蓝耗伤害
DPSMP=每持续蓝耗伤害</t>
        </r>
      </text>
    </comment>
    <comment ref="B49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去掉最后一次攻击之后的无效持续时间</t>
        </r>
      </text>
    </comment>
    <comment ref="B51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DPS=总伤/有效持续</t>
        </r>
      </text>
    </comment>
    <comment ref="D81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同时考虑触发和暴击的期望伤害</t>
        </r>
      </text>
    </comment>
    <comment ref="B96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非弹道武器多重不增加子弹数量只影响伤害倍率</t>
        </r>
      </text>
    </comment>
    <comment ref="D113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同时考虑触发和暴击的期望伤害</t>
        </r>
      </text>
    </comment>
    <comment ref="B127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非弹道武器多重不增加子弹数量只影响伤害倍率</t>
        </r>
      </text>
    </comment>
    <comment ref="D139" authorId="0">
      <text>
        <r>
          <rPr>
            <b/>
            <sz val="9"/>
            <rFont val="宋体"/>
            <charset val="134"/>
          </rPr>
          <t>pa:</t>
        </r>
        <r>
          <rPr>
            <sz val="9"/>
            <rFont val="宋体"/>
            <charset val="134"/>
          </rPr>
          <t xml:space="preserve">
同时考虑触发和暴击的期望伤害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<sst xmlns="http://schemas.openxmlformats.org/spreadsheetml/2006/main" count="6526" uniqueCount="1506">
  <si>
    <t>二重螺旋配卡模拟器 (2025/12/2)</t>
  </si>
  <si>
    <t>角色MOD</t>
  </si>
  <si>
    <t>近战MOD</t>
  </si>
  <si>
    <t>远程MOD</t>
  </si>
  <si>
    <t>同律MOD</t>
  </si>
  <si>
    <t>技能</t>
  </si>
  <si>
    <t>近战倍率</t>
  </si>
  <si>
    <t>远程倍率</t>
  </si>
  <si>
    <t>同律倍率</t>
  </si>
  <si>
    <t>属性</t>
  </si>
  <si>
    <t>雷</t>
  </si>
  <si>
    <t>雷云摧朽(满层)</t>
  </si>
  <si>
    <t>炽灼·决断</t>
  </si>
  <si>
    <t>羽翼·永恒</t>
  </si>
  <si>
    <t>炽灼·背水</t>
  </si>
  <si>
    <t>炽灼·坚守</t>
  </si>
  <si>
    <t>角色</t>
  </si>
  <si>
    <t>赛琪</t>
  </si>
  <si>
    <t>等级</t>
  </si>
  <si>
    <t>和鸣增益</t>
  </si>
  <si>
    <t>敌方等级</t>
  </si>
  <si>
    <t>敌方类型</t>
  </si>
  <si>
    <t>小型</t>
  </si>
  <si>
    <t>水</t>
  </si>
  <si>
    <t>水雾弥散</t>
  </si>
  <si>
    <t>羽翼·决断</t>
  </si>
  <si>
    <t>炽灼·权能</t>
  </si>
  <si>
    <t>炽灼·鼓舞</t>
  </si>
  <si>
    <t>炽灼·涅槃</t>
  </si>
  <si>
    <t>对象</t>
  </si>
  <si>
    <t>血量</t>
  </si>
  <si>
    <t>战姿失衡</t>
  </si>
  <si>
    <t>否</t>
  </si>
  <si>
    <t>当前生命百分比</t>
  </si>
  <si>
    <t>属性克制</t>
  </si>
  <si>
    <t>弱点</t>
  </si>
  <si>
    <t>敌方抗性</t>
  </si>
  <si>
    <t>火</t>
  </si>
  <si>
    <t>焚心野火(满层)</t>
  </si>
  <si>
    <t>涅槃·权能</t>
  </si>
  <si>
    <t>炽灼·永恒(火)</t>
  </si>
  <si>
    <t>角色面板</t>
  </si>
  <si>
    <t>收益计算辅助列</t>
  </si>
  <si>
    <t>风</t>
  </si>
  <si>
    <t>薰风吐息(触发)</t>
  </si>
  <si>
    <t>收益</t>
  </si>
  <si>
    <t>名称</t>
  </si>
  <si>
    <t>系列</t>
  </si>
  <si>
    <t>品质</t>
  </si>
  <si>
    <t>极性</t>
  </si>
  <si>
    <t>耐受</t>
  </si>
  <si>
    <t>强化</t>
  </si>
  <si>
    <t>极化</t>
  </si>
  <si>
    <t>属性1</t>
  </si>
  <si>
    <t>属性2</t>
  </si>
  <si>
    <t>属性3</t>
  </si>
  <si>
    <t>属性4</t>
  </si>
  <si>
    <t>去除后期望</t>
  </si>
  <si>
    <t>攻击</t>
  </si>
  <si>
    <t>生命</t>
  </si>
  <si>
    <t>防御</t>
  </si>
  <si>
    <t>威力</t>
  </si>
  <si>
    <t>耐久</t>
  </si>
  <si>
    <t>效益</t>
  </si>
  <si>
    <t>范围</t>
  </si>
  <si>
    <t>昂扬</t>
  </si>
  <si>
    <t>背水</t>
  </si>
  <si>
    <t>增伤</t>
  </si>
  <si>
    <t>技能伤害</t>
  </si>
  <si>
    <t>属性穿透</t>
  </si>
  <si>
    <t>独立增伤</t>
  </si>
  <si>
    <t>无视防御</t>
  </si>
  <si>
    <t>光</t>
  </si>
  <si>
    <t>流光交辉</t>
  </si>
  <si>
    <t>炽灭</t>
  </si>
  <si>
    <t>涅槃·决断</t>
  </si>
  <si>
    <t>炽灼·永恒(光)</t>
  </si>
  <si>
    <t>全盛·背水</t>
  </si>
  <si>
    <t>金</t>
  </si>
  <si>
    <t>暗</t>
  </si>
  <si>
    <t>虚妄献察</t>
  </si>
  <si>
    <t>炽灼·昂扬</t>
  </si>
  <si>
    <t>坚守·鼓舞</t>
  </si>
  <si>
    <t>凛风·燎原</t>
  </si>
  <si>
    <t>护盾</t>
  </si>
  <si>
    <t>神智</t>
  </si>
  <si>
    <t>极化次数</t>
  </si>
  <si>
    <t>中枢</t>
  </si>
  <si>
    <t>警惕</t>
  </si>
  <si>
    <t>社区代码</t>
  </si>
  <si>
    <t>增益效果</t>
  </si>
  <si>
    <t>层数</t>
  </si>
  <si>
    <t>描述</t>
  </si>
  <si>
    <t>松露与榛子E</t>
  </si>
  <si>
    <t>武器伤害</t>
  </si>
  <si>
    <t>全盛·振奋</t>
  </si>
  <si>
    <t>赛琪被动</t>
  </si>
  <si>
    <t>技能名称</t>
  </si>
  <si>
    <t>鳞粉印记(E)</t>
  </si>
  <si>
    <t>第二期深渊</t>
  </si>
  <si>
    <t>攻击倍率</t>
  </si>
  <si>
    <t>弧光百劫BUFF</t>
  </si>
  <si>
    <t>防御倍率</t>
  </si>
  <si>
    <t>赛琪1塑</t>
  </si>
  <si>
    <t>生命倍率</t>
  </si>
  <si>
    <t>织梦的白羽BUFF</t>
  </si>
  <si>
    <t>固定伤害</t>
  </si>
  <si>
    <t>菲娜Q+被动+1溯</t>
  </si>
  <si>
    <t>技能范围</t>
  </si>
  <si>
    <t>色散成霓</t>
  </si>
  <si>
    <t>技能持续</t>
  </si>
  <si>
    <t>紊乱气旋</t>
  </si>
  <si>
    <t>神智消耗</t>
  </si>
  <si>
    <t>乘势</t>
  </si>
  <si>
    <t>持续消耗</t>
  </si>
  <si>
    <t>碧玺艾尔芙(主动)</t>
  </si>
  <si>
    <t>技能速度</t>
  </si>
  <si>
    <t>全盛·安神</t>
  </si>
  <si>
    <t>异常数量</t>
  </si>
  <si>
    <t>神智回复</t>
  </si>
  <si>
    <t>耗尽时间</t>
  </si>
  <si>
    <t>伤害</t>
  </si>
  <si>
    <t>单MOD收益对比</t>
  </si>
  <si>
    <t>DPA</t>
  </si>
  <si>
    <t>添加后期望</t>
  </si>
  <si>
    <t>数值期望</t>
  </si>
  <si>
    <t>召唤物</t>
  </si>
  <si>
    <t>攻击延迟</t>
  </si>
  <si>
    <t>攻击间隔</t>
  </si>
  <si>
    <t>进击</t>
  </si>
  <si>
    <t>召唤物范围</t>
  </si>
  <si>
    <t>决斗</t>
  </si>
  <si>
    <t>召唤物攻速</t>
  </si>
  <si>
    <t>决断·冥想(没出)</t>
  </si>
  <si>
    <t>攻击次数</t>
  </si>
  <si>
    <t>有效持续</t>
  </si>
  <si>
    <t>单词条收益对比(武器收益)</t>
  </si>
  <si>
    <t>总伤</t>
  </si>
  <si>
    <t>数值</t>
  </si>
  <si>
    <t>DPS</t>
  </si>
  <si>
    <t>近战武器</t>
  </si>
  <si>
    <t>希冀的丰稔</t>
  </si>
  <si>
    <t>精炼</t>
  </si>
  <si>
    <t>加成</t>
  </si>
  <si>
    <t>武器面板</t>
  </si>
  <si>
    <t>武器MOD</t>
  </si>
  <si>
    <t>类型</t>
  </si>
  <si>
    <t>暴击</t>
  </si>
  <si>
    <t>暴伤</t>
  </si>
  <si>
    <t>触发</t>
  </si>
  <si>
    <t>攻速</t>
  </si>
  <si>
    <t>追加伤害</t>
  </si>
  <si>
    <t>伤害类型</t>
  </si>
  <si>
    <t>迅捷</t>
  </si>
  <si>
    <t>盛怒</t>
  </si>
  <si>
    <t>锋锐</t>
  </si>
  <si>
    <t>暴击等级1</t>
  </si>
  <si>
    <t>暴击等级2</t>
  </si>
  <si>
    <t>连击效果(蓄力)</t>
  </si>
  <si>
    <t>总攻击</t>
  </si>
  <si>
    <t>一段伤害</t>
  </si>
  <si>
    <t>增益效果(不生效,仅计算收益,需要与角色栏中的相同)</t>
  </si>
  <si>
    <t>连击等级</t>
  </si>
  <si>
    <t>S</t>
  </si>
  <si>
    <t>角色攻击</t>
  </si>
  <si>
    <t>攻击段数</t>
  </si>
  <si>
    <t>每次</t>
  </si>
  <si>
    <t>期望伤害</t>
  </si>
  <si>
    <t>未触发</t>
  </si>
  <si>
    <t>期望值</t>
  </si>
  <si>
    <t>远程武器</t>
  </si>
  <si>
    <t>剥离</t>
  </si>
  <si>
    <t>多重</t>
  </si>
  <si>
    <t>叠影</t>
  </si>
  <si>
    <t>弹道类型</t>
  </si>
  <si>
    <t>子弹伤害</t>
  </si>
  <si>
    <t>每弹片</t>
  </si>
  <si>
    <t>专注</t>
  </si>
  <si>
    <t>技能等级</t>
  </si>
  <si>
    <t>阵营</t>
  </si>
  <si>
    <t>战姿</t>
  </si>
  <si>
    <t>游击秽兽</t>
  </si>
  <si>
    <t>秽兽</t>
  </si>
  <si>
    <t>游击秽兽II</t>
  </si>
  <si>
    <t>暴徒秽兽</t>
  </si>
  <si>
    <t>暴徒秽兽II</t>
  </si>
  <si>
    <t>疾冲秽兽</t>
  </si>
  <si>
    <t>疾冲秽兽II</t>
  </si>
  <si>
    <t>飘浮秽兽</t>
  </si>
  <si>
    <t>飘浮秽兽II</t>
  </si>
  <si>
    <t>笼草秽兽</t>
  </si>
  <si>
    <t>搬运秽兽</t>
  </si>
  <si>
    <t>灼心秽兽</t>
  </si>
  <si>
    <t>突击列兵</t>
  </si>
  <si>
    <t>海伯利亚帝国</t>
  </si>
  <si>
    <t>突击列兵II</t>
  </si>
  <si>
    <t>精锐士官</t>
  </si>
  <si>
    <t>帝皇之仁</t>
  </si>
  <si>
    <t>劈斩列兵</t>
  </si>
  <si>
    <t>劈斩列兵II</t>
  </si>
  <si>
    <t>狙击列兵</t>
  </si>
  <si>
    <t>狙击列兵II</t>
  </si>
  <si>
    <t>远征列兵</t>
  </si>
  <si>
    <t>远征列兵II</t>
  </si>
  <si>
    <t>佩剑炼金术师</t>
  </si>
  <si>
    <t>警戒机</t>
  </si>
  <si>
    <t>蒙恩的先锋</t>
  </si>
  <si>
    <t>艾利西安传颂会</t>
  </si>
  <si>
    <t>蒙恩的执事</t>
  </si>
  <si>
    <t>蒙恩的神甫</t>
  </si>
  <si>
    <t>“玩具家”</t>
  </si>
  <si>
    <t>神弃者同盟</t>
  </si>
  <si>
    <t>“爆炸狂”</t>
  </si>
  <si>
    <t>“欺诈师"</t>
  </si>
  <si>
    <t>野蜂利刃</t>
  </si>
  <si>
    <t>野蜂暗箭</t>
  </si>
  <si>
    <t>野蜂密探</t>
  </si>
  <si>
    <t>雪狼</t>
  </si>
  <si>
    <t>其他</t>
  </si>
  <si>
    <t>雪狼(大)</t>
  </si>
  <si>
    <t>红角鹿</t>
  </si>
  <si>
    <t>红角鹿(大)</t>
  </si>
  <si>
    <t>银背鼠</t>
  </si>
  <si>
    <t>银背鼠(大)</t>
  </si>
  <si>
    <t>拟合</t>
  </si>
  <si>
    <t>幂函数</t>
  </si>
  <si>
    <t>线性</t>
  </si>
  <si>
    <t>第一段</t>
  </si>
  <si>
    <t>第二段</t>
  </si>
  <si>
    <t>第三段</t>
  </si>
  <si>
    <t>第四段</t>
  </si>
  <si>
    <t>第五段</t>
  </si>
  <si>
    <t>近战</t>
  </si>
  <si>
    <t>远程</t>
  </si>
  <si>
    <t>同律武器</t>
  </si>
  <si>
    <t>基础攻击</t>
  </si>
  <si>
    <t>基础生命</t>
  </si>
  <si>
    <t>基础护盾</t>
  </si>
  <si>
    <t>基础防御</t>
  </si>
  <si>
    <t>基础神智</t>
  </si>
  <si>
    <t>黎瑟</t>
  </si>
  <si>
    <t>太刀</t>
  </si>
  <si>
    <t>突击枪</t>
  </si>
  <si>
    <t>丽蓓卡</t>
  </si>
  <si>
    <t>长柄</t>
  </si>
  <si>
    <t>榴炮</t>
  </si>
  <si>
    <t>菲娜</t>
  </si>
  <si>
    <t>单手剑</t>
  </si>
  <si>
    <t>塔比瑟</t>
  </si>
  <si>
    <t>弓</t>
  </si>
  <si>
    <t>玛尔洁</t>
  </si>
  <si>
    <t>霰弹枪</t>
  </si>
  <si>
    <t>琳恩</t>
  </si>
  <si>
    <t>重剑</t>
  </si>
  <si>
    <t>双枪</t>
  </si>
  <si>
    <t>汉塞尔与格雷特</t>
  </si>
  <si>
    <t>海尔法</t>
  </si>
  <si>
    <t>耶尔与奥利弗</t>
  </si>
  <si>
    <t>伊卡洛斯</t>
  </si>
  <si>
    <t>松露与榛子</t>
  </si>
  <si>
    <t>奥特赛德</t>
  </si>
  <si>
    <t>双刀</t>
  </si>
  <si>
    <t>达芙涅</t>
  </si>
  <si>
    <t>鞭刃</t>
  </si>
  <si>
    <t>西比尔</t>
  </si>
  <si>
    <t>手枪</t>
  </si>
  <si>
    <t>兰迪</t>
  </si>
  <si>
    <t>狩月人</t>
  </si>
  <si>
    <t>妮弗尔夫人</t>
  </si>
  <si>
    <t>莉兹贝尔</t>
  </si>
  <si>
    <t>萨麦尔</t>
  </si>
  <si>
    <t>贝蕾妮卡</t>
  </si>
  <si>
    <t>伊弥尔</t>
  </si>
  <si>
    <t>幻景</t>
  </si>
  <si>
    <t>止流</t>
  </si>
  <si>
    <t>扶疏</t>
  </si>
  <si>
    <t>固定范围</t>
  </si>
  <si>
    <t>固定持续</t>
  </si>
  <si>
    <t>涡旋电场(Q)[电荷]伤害</t>
  </si>
  <si>
    <t>涡旋电场(Q)选取敌人伤害</t>
  </si>
  <si>
    <t>快速出击(E)消耗[电能]</t>
  </si>
  <si>
    <t>QE射击取消单体秒均(6溯)</t>
  </si>
  <si>
    <t>缠绵之触(E)</t>
  </si>
  <si>
    <t>爱之毒(被动)</t>
  </si>
  <si>
    <t>爱神蜜露(Q)</t>
  </si>
  <si>
    <t>爱神蜜露(Q)6层毒</t>
  </si>
  <si>
    <t>“在一个暖和的午后”(E)</t>
  </si>
  <si>
    <t>“下午茶开始了!”(Q)</t>
  </si>
  <si>
    <t>正义群殴!(Q)</t>
  </si>
  <si>
    <t>玛尔洁的万能寻宝铲(E)</t>
  </si>
  <si>
    <t>玛尔洁的可燃垃圾箱(Q)</t>
  </si>
  <si>
    <t>致命绽放(E)</t>
  </si>
  <si>
    <t>裂伤(E)</t>
  </si>
  <si>
    <t>灼热地狱(E)</t>
  </si>
  <si>
    <t>灼热地狱(E)持续伤害</t>
  </si>
  <si>
    <t>绝望牢笼(Q)</t>
  </si>
  <si>
    <t>小可爱·耶尔制</t>
  </si>
  <si>
    <t>小可爱·奥利弗制</t>
  </si>
  <si>
    <t>噩梦回忆(Q)</t>
  </si>
  <si>
    <t>噩梦回忆(Q)10层</t>
  </si>
  <si>
    <t>浮光鳞粉(E)</t>
  </si>
  <si>
    <t>腐草为萤(Q)</t>
  </si>
  <si>
    <t>蹄蹄小跑(E)</t>
  </si>
  <si>
    <t>饱饱工作(Q)</t>
  </si>
  <si>
    <t>隐匿(E)</t>
  </si>
  <si>
    <t>獠牙之刺(被动)</t>
  </si>
  <si>
    <t>翠玉弥散(E)</t>
  </si>
  <si>
    <t>指尖风暴(Q)</t>
  </si>
  <si>
    <t>正当怠工持续(E)</t>
  </si>
  <si>
    <t>晨昏(E)</t>
  </si>
  <si>
    <t>飞芒(Q)</t>
  </si>
  <si>
    <t>月猎(E)</t>
  </si>
  <si>
    <t>Q强化日食(E)</t>
  </si>
  <si>
    <t>QAEEEAEEE秒均</t>
  </si>
  <si>
    <t>以坚忍之名(E)</t>
  </si>
  <si>
    <t>残光(E)</t>
  </si>
  <si>
    <t>幕启(Q)下落</t>
  </si>
  <si>
    <t>咏叹调(E)</t>
  </si>
  <si>
    <t>提挈浮沉(E)</t>
  </si>
  <si>
    <t>形与神俱(Q)</t>
  </si>
  <si>
    <t>解天机·震(E)</t>
  </si>
  <si>
    <t>解天机·巽(E)</t>
  </si>
  <si>
    <t>天地演绎(Q)</t>
  </si>
  <si>
    <t>震有声(Q)</t>
  </si>
  <si>
    <t>万物生(Q)</t>
  </si>
  <si>
    <t>万物生-雷风相与(Q)</t>
  </si>
  <si>
    <t>天地明(Q)</t>
  </si>
  <si>
    <t>a</t>
  </si>
  <si>
    <t>b</t>
  </si>
  <si>
    <t>dx</t>
  </si>
  <si>
    <t>lx</t>
  </si>
  <si>
    <t>mx</t>
  </si>
  <si>
    <t>属性伤</t>
  </si>
  <si>
    <t>MOD属性</t>
  </si>
  <si>
    <t>固定攻击</t>
  </si>
  <si>
    <t>召唤物攻击</t>
  </si>
  <si>
    <t>召唤物伤害</t>
  </si>
  <si>
    <t>失衡易伤</t>
  </si>
  <si>
    <t>近战攻击</t>
  </si>
  <si>
    <t>近战暴击</t>
  </si>
  <si>
    <t>近战暴伤</t>
  </si>
  <si>
    <t>近战触发</t>
  </si>
  <si>
    <t>近战攻速</t>
  </si>
  <si>
    <t>近战范围</t>
  </si>
  <si>
    <t>近战增伤</t>
  </si>
  <si>
    <t>远程攻击</t>
  </si>
  <si>
    <t>远程攻速</t>
  </si>
  <si>
    <t>远程暴击</t>
  </si>
  <si>
    <t>远程暴伤</t>
  </si>
  <si>
    <t>远程触发</t>
  </si>
  <si>
    <t>远程多重</t>
  </si>
  <si>
    <t>远程增伤</t>
  </si>
  <si>
    <t>自定义BUFF</t>
  </si>
  <si>
    <t>自行填写</t>
  </si>
  <si>
    <t>助战50攻</t>
  </si>
  <si>
    <t>自身和水属性队友攻击提高。</t>
  </si>
  <si>
    <t>助战40攻</t>
  </si>
  <si>
    <t>自身和雷属性队友攻击提高</t>
  </si>
  <si>
    <t>黎瑟E</t>
  </si>
  <si>
    <t>使自身获得造成伤害提高效果。</t>
  </si>
  <si>
    <t>菲娜助战</t>
  </si>
  <si>
    <t>自身和精通武器包含单手剑或突击枪的队友造成的武器伤害提高。</t>
  </si>
  <si>
    <t>菲娜4溯</t>
  </si>
  <si>
    <t>每层[梦笔生花]令自身技能威力提高2.0%、技能范围提高1.0%。</t>
  </si>
  <si>
    <t>菲娜6溯</t>
  </si>
  <si>
    <t>目标每带有1个属性额外触发效果，此次伤害的暴击提高24.0%</t>
  </si>
  <si>
    <t>额外附加水、火、雷、风追加伤害并根据[梦笔生花]层数为自身和队友附加伤害提高效果</t>
  </si>
  <si>
    <t>塔比瑟助战</t>
  </si>
  <si>
    <t>自身和队友造成的技能伤害提高。</t>
  </si>
  <si>
    <t>塔比瑟E</t>
  </si>
  <si>
    <t>为自身和队友附加造成的技能伤害提高效果。</t>
  </si>
  <si>
    <t>玛尔洁助战</t>
  </si>
  <si>
    <t>自身和队友攻击提高。</t>
  </si>
  <si>
    <t>队内有2个或以上属性相同的角色时，自身和队友
背水提高。</t>
  </si>
  <si>
    <t>附加造成伤害提高效果。</t>
  </si>
  <si>
    <t>松露与榛子2溯</t>
  </si>
  <si>
    <t>释放技能时，为队友附加攻击提高效果，数值为[松露]最大生命的3.0%，上限300，持续10秒</t>
  </si>
  <si>
    <t>达芙涅助战</t>
  </si>
  <si>
    <t>自身和队友暴击提高。</t>
  </si>
  <si>
    <t>达芙涅Q</t>
  </si>
  <si>
    <t>获得风属性追加伤害。</t>
  </si>
  <si>
    <t>兰迪助战</t>
  </si>
  <si>
    <t>自身和队友防御提高。</t>
  </si>
  <si>
    <t>狩月人助战</t>
  </si>
  <si>
    <t>自身和队友造成的武器伤害提高。</t>
  </si>
  <si>
    <t>狩月人Q</t>
  </si>
  <si>
    <t>造成的武器伤害提高。</t>
  </si>
  <si>
    <t>贝蕾妮卡1溯</t>
  </si>
  <si>
    <t>螺旋跳跃和释放[残光}后，自身获得1层技能效益提高8.0%，持续12秒，最多叠加3层</t>
  </si>
  <si>
    <t>妮弗尔夫人2溯</t>
  </si>
  <si>
    <t>[月猎]造成伤害后，目标在3秒内受到[日食]的伤害提高75.0%;[日食]造成伤害后，目标在3秒内受到[月猎]的伤害提高75.0%。</t>
  </si>
  <si>
    <t>妮弗尔夫人Q</t>
  </si>
  <si>
    <t>范围超过100%的部分转威力</t>
  </si>
  <si>
    <t>丽贝卡6溯</t>
  </si>
  <si>
    <t>击败带有[爱之毒]的目标时，自身获得1层攻击提高3.0%，持续15秒，最多叠加50层，叠加时刷新剩余时间。</t>
  </si>
  <si>
    <t>丽贝卡BUG修正</t>
  </si>
  <si>
    <t>召唤物吃不到背水昂扬和突破加成</t>
  </si>
  <si>
    <t>幻景4溯</t>
  </si>
  <si>
    <t>[狂怒的锐爪]第四段和空中下落造成伤害时，如果目标带有10层[柔板]，伤害提高110.0%。</t>
  </si>
  <si>
    <t>幻景6溯</t>
  </si>
  <si>
    <t>[急板]额外获得昂扬提高90.0%效果;触发[二重唱]的获得[沉浸度]效果时，[急板]持续时间延长0.2秒 。</t>
  </si>
  <si>
    <t>造成的伤害暴击时，随机获得攻击提高、技能威力提高、背水提高效果中1个。基于自身的增益效果的数量，提高造成的伤害，最多计算12个增益效果。</t>
  </si>
  <si>
    <t>释放[抽茧成梦]和[逐光]时，回复自身10.0%的最大生命，并获得造成的伤害提高35.0%效果，持续12秒。</t>
  </si>
  <si>
    <t>赛琪6塑</t>
  </si>
  <si>
    <t>[破茧]状态中自身全属性穿透提高50.0%。</t>
  </si>
  <si>
    <t>莉兹贝尔1溯</t>
  </si>
  <si>
    <t>释放[以坚忍之名]时，自身获得攻击提高35.0%，持续15秒。</t>
  </si>
  <si>
    <t>莉兹贝尔6溯</t>
  </si>
  <si>
    <t>释放[我不忍啦!]和[萨麦尔]蓄力攻击后，自身获得30.0%光属性追加伤害，持续15秒。</t>
  </si>
  <si>
    <t>魔灵潜质:凶猛</t>
  </si>
  <si>
    <t>攻击+24.0%</t>
  </si>
  <si>
    <t>魔灵潜质:壮实</t>
  </si>
  <si>
    <t>最大生命值+24.0%</t>
  </si>
  <si>
    <t>魔灵潜质:甲胄</t>
  </si>
  <si>
    <t>防御力+24.0%</t>
  </si>
  <si>
    <t>黑曜艾尔芙</t>
  </si>
  <si>
    <t>自身及协战同伴暗属性攻击+4.8%，前缀为[狮鹫][百首][契约者]的暗属性魔之楔提供的属性提高1.8%。</t>
  </si>
  <si>
    <t>黑曜艾尔芙(主动)</t>
  </si>
  <si>
    <t>堇青艾尔芙</t>
  </si>
  <si>
    <t>自身及协战同伴水属性攻击+4.8%，前缀为[狮鳞][百首][契约者]的水属性魔之楔提供的属性提高1.8% 。</t>
  </si>
  <si>
    <t>堇青艾尔芙(主动)</t>
  </si>
  <si>
    <t>玛瑙艾尔芙</t>
  </si>
  <si>
    <t>自身及协战同伴火属性攻击+4.8%，前缀为[狮鹫][百首][契约者]的火属性魔之楔提供的属性提高1.8% 。</t>
  </si>
  <si>
    <t>玛瑙艾尔芙(主动)</t>
  </si>
  <si>
    <t>紫晶艾尔芙</t>
  </si>
  <si>
    <t>自身及协战同伴雷属性攻击+4.8%，前缀为[狮鹫][百首][契约者]的雷属性魔之楔提供的属性提高1.8% 。</t>
  </si>
  <si>
    <t>紫晶艾尔芙(主动)</t>
  </si>
  <si>
    <t>碧玺艾尔芙</t>
  </si>
  <si>
    <t>自身及协战同伴风属性攻击+4.8%，前缀为[狮鹫][百首][契约者]的风属性魔之楔提供的属性提高1.8%。</t>
  </si>
  <si>
    <t>欧泊艾尔芙</t>
  </si>
  <si>
    <t>自身及协战同伴光属性攻击+4.8%，前缀为[狮鹫][百首][契约者]的光属性魔之楔提供的属性提高1.8%。</t>
  </si>
  <si>
    <t>欧泊艾尔芙(主动)</t>
  </si>
  <si>
    <t>处于战姿失衡状态受到的伤害提高效果量提高44.0%</t>
  </si>
  <si>
    <t>自身及队友造成的伤害提高20.0%</t>
  </si>
  <si>
    <t>自身及队友每3秒额外回复12.0点神智</t>
  </si>
  <si>
    <t>激扬寒波</t>
  </si>
  <si>
    <t>水属性角色释放技能时，为附近队友附加攻击提高，数值为本角色攻击的20.9%，上限275，持续10.0秒</t>
  </si>
  <si>
    <t>光属性角色周围的敌人受到武器伤害时，暴击率提高60%，对带有额外效果负面状态的目标额外提高15%。</t>
  </si>
  <si>
    <t>风属性角色远程武器触发额外效果时，为附近队友附加背水提高9.9%，持续10.0秒。</t>
  </si>
  <si>
    <t>琳恩裂伤BUG修正</t>
  </si>
  <si>
    <t>增加一次技能威力独立乘区和同率攻击力</t>
  </si>
  <si>
    <t>深渊BUFF(11/25-12-23)</t>
  </si>
  <si>
    <t>迷津:提灯加成</t>
  </si>
  <si>
    <t>全点满</t>
  </si>
  <si>
    <t>光属性角色使用任意武器造成追加伤害时，有30.0%概率为附近其他队友附加1层攻击提高18％，持续15.0秒，最多叠加10.0层。</t>
  </si>
  <si>
    <t>使用此武器造成的伤害暴击时，为其他队友附加攻击提高、技能威力提高、技能耐久提高中的1个，持续16.0秒。、</t>
  </si>
  <si>
    <t>希冀的丰稔BUFF</t>
  </si>
  <si>
    <t>风属性角色释放终结技后获得[千风祈盼]:背水提高16%，攻击速度提高30.0%，持续15.0秒， 每次造成技能伤害和远程武器伤害可令持续时间延长0.2秒。</t>
  </si>
  <si>
    <t>蓝色脉动BUFF</t>
  </si>
  <si>
    <t>双枪武器伤害提高</t>
  </si>
  <si>
    <t>爆破艺术BUFF</t>
  </si>
  <si>
    <t>暗属性角色释放终结技后，自身获得技能效益提高</t>
  </si>
  <si>
    <t>告谕圣言BUFF</t>
  </si>
  <si>
    <t>使用此武器造成伤害触发额外效果时，获得近战武器造成的伤害提高70％，持续12.0秒。</t>
  </si>
  <si>
    <t>塞壬的拥吻BUFF</t>
  </si>
  <si>
    <t>使用此武器进行普通攻击时，获得1层攻击速度提高7.2%，持续15.0秒， 最多叠加12.0层</t>
  </si>
  <si>
    <t>银白敕令BUFF</t>
  </si>
  <si>
    <t>使用此武器攻击触发额外效果时，获得1层攻击速度提高10%最多叠加10层。切换至其他武器时，失去效果。</t>
  </si>
  <si>
    <t>放逐怒雷BUFF</t>
  </si>
  <si>
    <t>雷属性角色使用此武器造成伤害触发额外效果时，自身获得武器伤害提高90％，持续10.0秒.</t>
  </si>
  <si>
    <t>60%无视防御</t>
  </si>
  <si>
    <t>测试</t>
  </si>
  <si>
    <t>磐石</t>
  </si>
  <si>
    <t>自身造成的伤害降低15.0%(独立)</t>
  </si>
  <si>
    <t>备注</t>
  </si>
  <si>
    <t>属性魔之楔属性</t>
  </si>
  <si>
    <t>淬火之刃</t>
  </si>
  <si>
    <t>炉心炎</t>
  </si>
  <si>
    <t>连环之刃</t>
  </si>
  <si>
    <t>搏斗之刃</t>
  </si>
  <si>
    <t>普攻</t>
  </si>
  <si>
    <t>熔炉的馈赠</t>
  </si>
  <si>
    <t>8.0米内敌人被击败时，自身回复3.0%生命。</t>
  </si>
  <si>
    <t>熔炉的仪式</t>
  </si>
  <si>
    <t>受到来自自身周围8.0米内或带有[熔炎]敌人的伤害降低12.0%。</t>
  </si>
  <si>
    <t>复燃的野火</t>
  </si>
  <si>
    <t>受到伤害时为自身周围8米内的敌人附加1层[熔炎]，效果每1.5秒最多触发1次。</t>
  </si>
  <si>
    <t>技巧之刃</t>
  </si>
  <si>
    <t>勇武之刃</t>
  </si>
  <si>
    <t>迸发之刃</t>
  </si>
  <si>
    <t>近战武器下落攻击、蓄力攻击、滑行攻击伤害提高25.0%。</t>
  </si>
  <si>
    <t>不息的野火</t>
  </si>
  <si>
    <t>每1.5秒为周围8米内的敌人附加1层[熔炎]。</t>
  </si>
  <si>
    <t>淬火的馈赠</t>
  </si>
  <si>
    <t>对带有超过2层[熔炎]的敌人造成伤害时，自身回复2.0%生命，效果每0.5秒最多触发1次。</t>
  </si>
  <si>
    <t>纵横之刃</t>
  </si>
  <si>
    <t>进击迸发</t>
  </si>
  <si>
    <t>任何伤害导致目标生命低于30.0%时，额外造成1次3600%角色攻击的伤害，效果对同一目标每10秒最多触发1次。</t>
  </si>
  <si>
    <t>炽烈的野火</t>
  </si>
  <si>
    <t>近战武器造成伤害时，如果目标[熔炎]超过4层，额外造成60.0%角色攻击的伤害。</t>
  </si>
  <si>
    <t>淬火的仪式</t>
  </si>
  <si>
    <t>自身周围8米内敌人越少，造成的伤害越高，最多提高60.0%。</t>
  </si>
  <si>
    <t>饥饿猎手</t>
  </si>
  <si>
    <t>浮海月</t>
  </si>
  <si>
    <t>无形猎手</t>
  </si>
  <si>
    <t>觅食口腕</t>
  </si>
  <si>
    <t>远程武器造成伤害时生成[弹药补给箱]，效果每10秒最多触发1次。已激活[阶]效果时，额外生成1枚[微型浮海月]。</t>
  </si>
  <si>
    <t>浮游伞膜</t>
  </si>
  <si>
    <t>成功拾取掉落物时，获得30超限护盾，效果每5秒最多触发1次。</t>
  </si>
  <si>
    <t>瀚海的贮存</t>
  </si>
  <si>
    <t>造成伤害时生成[活化嗅盐]或[凝神露滴]，效果每12秒最多触发1次。已激活[川阶]效果时，额外掉落1枚[微型浮海月]。</t>
  </si>
  <si>
    <t>瀚海的警示</t>
  </si>
  <si>
    <t>自身20米范围内有敌人时，若已激活[川阶]效果，角色攻击提高30.0%，否则提高15.0%。</t>
  </si>
  <si>
    <t>致命猎手</t>
  </si>
  <si>
    <t>复合毒素</t>
  </si>
  <si>
    <t>瀚海的馈赠</t>
  </si>
  <si>
    <t>瀚海的生机</t>
  </si>
  <si>
    <t>成功拾取掉落物时，额外回复4点神智。</t>
  </si>
  <si>
    <t>瀚海的呼唤</t>
  </si>
  <si>
    <t>魔灵支援冷却时间减少30.0%。</t>
  </si>
  <si>
    <t>斑斓触须</t>
  </si>
  <si>
    <t>敏锐猎手</t>
  </si>
  <si>
    <t>瀚海的蛰刺</t>
  </si>
  <si>
    <t>对与自身距离大于8.0米的目标造成远程武器伤害时，附加1层受到的远程武器伤害提高1.6%的效果，最多提高到80.0%。</t>
  </si>
  <si>
    <t>蛰伏猎手</t>
  </si>
  <si>
    <t>保持移动超过2秒后，自身受到的伤害降低30.0%，直到停止移动为止。停止移动超过2秒后，自身造成的伤害提高60.0%，直到移动为止。</t>
  </si>
  <si>
    <t>星光效应</t>
  </si>
  <si>
    <t>辉萤石</t>
  </si>
  <si>
    <t>天然雕琢</t>
  </si>
  <si>
    <t>游彩光带</t>
  </si>
  <si>
    <t>温润触碰</t>
  </si>
  <si>
    <t>释放技能时，回复4点神智，效果每5秒最多触发1次。</t>
  </si>
  <si>
    <t>晶莹触碰</t>
  </si>
  <si>
    <t>释放技能时，回复最大护盾10.0%的护盾，效果每5秒最多触发1次。</t>
  </si>
  <si>
    <t>石中流光</t>
  </si>
  <si>
    <t>瑰丽翠色</t>
  </si>
  <si>
    <t>刚性触碰</t>
  </si>
  <si>
    <t>神智百分比小于50.0%时，受到的伤害降低20.0%。</t>
  </si>
  <si>
    <t>凝神荧光</t>
  </si>
  <si>
    <t>神智百分比下降至50.0%以下时，在5秒内每秒回复8点神智，效果每20秒最多触发1次。</t>
  </si>
  <si>
    <t>辉煌折影</t>
  </si>
  <si>
    <t>释放技能时，获得10层[华光]。</t>
  </si>
  <si>
    <t>华彩绽放</t>
  </si>
  <si>
    <t>[闪耀]状态中，每秒回复4点神智。</t>
  </si>
  <si>
    <t>尖晶共鸣</t>
  </si>
  <si>
    <t>辉耀折射</t>
  </si>
  <si>
    <t>锋芒触碰</t>
  </si>
  <si>
    <t>[闪耀]状态提供的技能伤害提高效果提高至150.0%。</t>
  </si>
  <si>
    <t>弧光降诞</t>
  </si>
  <si>
    <t>[放射]的触发间隔降低至1.5秒</t>
  </si>
  <si>
    <t>生命的传播</t>
  </si>
  <si>
    <t>流明枝</t>
  </si>
  <si>
    <t>造成伤害时，有10.0%的概率召唤1个[流明种]，效果每5秒最多触发1次。</t>
  </si>
  <si>
    <t>自然的律动</t>
  </si>
  <si>
    <t>召唤召唤物时，自身技能威力提高5.0%，效果持续10秒，最多叠加3层。</t>
  </si>
  <si>
    <t>自然的轰鸣</t>
  </si>
  <si>
    <t>召唤召唤物时，自身攻击提高5.0%，效果持续10秒，最多叠加3层。</t>
  </si>
  <si>
    <t>沃壤改良</t>
  </si>
  <si>
    <t>受到的治疗提高40.0%。</t>
  </si>
  <si>
    <t>自然的疗愈</t>
  </si>
  <si>
    <t>召唤召唤物时，自身回复最大生命2.0%的生命。</t>
  </si>
  <si>
    <t>自然的生机</t>
  </si>
  <si>
    <t>召唤召唤物时，自身回复4点神智。</t>
  </si>
  <si>
    <t>生命的鼓动</t>
  </si>
  <si>
    <t>每5秒召唤1个[流明种]。</t>
  </si>
  <si>
    <t>生命的本能</t>
  </si>
  <si>
    <t>受到伤害时，有50.0%的概率召唤1个[流明种]，效果每3秒最多触发1次。</t>
  </si>
  <si>
    <t>自然的庇护</t>
  </si>
  <si>
    <t>自身周围8米范围内有召唤物时，受到的伤害降低20.0%。</t>
  </si>
  <si>
    <t>林莽扩张</t>
  </si>
  <si>
    <t>受到治疗时，自身造成的伤害提高25.0%，持续3秒。</t>
  </si>
  <si>
    <t>逆向扎根</t>
  </si>
  <si>
    <t>召唤召唤物时，对召唤位置6米内的敌人造成战姿削减效果。</t>
  </si>
  <si>
    <t>自然的愤怒</t>
  </si>
  <si>
    <t>自身周围8米范围内每有1个召唤物，自身获得1层伤害提高12.0%效果，最多叠加5层。</t>
  </si>
  <si>
    <t>自然的厚重</t>
  </si>
  <si>
    <t>自然的法则</t>
  </si>
  <si>
    <t>每次召唤非流明枝系列召唤物时，在召唤位置触发1次爆炸冲击，造成2000%角色攻击的伤害。</t>
  </si>
  <si>
    <t>繁茂生长</t>
  </si>
  <si>
    <t>[流明种]进化为[流明枝叶]的概率提高至100%。</t>
  </si>
  <si>
    <t>滑翔之姿</t>
  </si>
  <si>
    <t>噬影蝶</t>
  </si>
  <si>
    <t>螺旋飞跃时，获得攻击提高12.0%效果，持续3秒，并获得1层[噬影]。</t>
  </si>
  <si>
    <t>飘舞之姿</t>
  </si>
  <si>
    <t>进入滑行时，生成3枚[风翼]，命中敌人造成60.0%角色攻击的伤害，并获得1层[噬影]。</t>
  </si>
  <si>
    <t>化茧之姿</t>
  </si>
  <si>
    <t>闪避时，获得受到的伤害降低10.0%的效果，持续3秒，并获得1层[噬影]。</t>
  </si>
  <si>
    <t>奇彩的斑纹</t>
  </si>
  <si>
    <t>乘风之姿</t>
  </si>
  <si>
    <t>涡旋气流</t>
  </si>
  <si>
    <t>下落攻击对敌人造成伤害时会生成1个[鳞粉]领域，对其中的敌人每秒造成400%角色攻击的伤害，并获得8层[噬影]。效果每12秒最多触发1次。</t>
  </si>
  <si>
    <t>冲击气流</t>
  </si>
  <si>
    <t>下落攻击的伤害提高25.0%。</t>
  </si>
  <si>
    <t>散逸气流</t>
  </si>
  <si>
    <t>轻缓气流</t>
  </si>
  <si>
    <t>最大闪避次数增加2次。</t>
  </si>
  <si>
    <t>飞散的鳞粉</t>
  </si>
  <si>
    <t>闪避时，生成1个[鳞粉]领域，对其中的敌人每秒造成400%角色攻击的伤害。效果每5秒最多触发1次。</t>
  </si>
  <si>
    <t>紊乱气流</t>
  </si>
  <si>
    <t>每3秒获得1层[噬影]。自身的[噬影]大于30层时，通过此祝福获得[噬影]时，还会发射1颗[刃翼],命中敌人造成800%角色攻击的伤害。</t>
  </si>
  <si>
    <t>夺目之姿</t>
  </si>
  <si>
    <t>每有1次最大闪避次数，最大神智增加30.0%。</t>
  </si>
  <si>
    <t>锋利的蝶翼</t>
  </si>
  <si>
    <t>唤风之姿</t>
  </si>
  <si>
    <t>破茧之姿</t>
  </si>
  <si>
    <t>闪避时攻击提高60.0%，持续3秒。</t>
  </si>
  <si>
    <t>飘忽的巡游</t>
  </si>
  <si>
    <t>曳光虫</t>
  </si>
  <si>
    <t>逐光的巡游</t>
  </si>
  <si>
    <t>造成伤害时，有5.0%概率获得1只[曳光虫]。</t>
  </si>
  <si>
    <t>驱黯的巡游</t>
  </si>
  <si>
    <t>每10秒获得1只[曳光虫]。</t>
  </si>
  <si>
    <t>佯攻信号</t>
  </si>
  <si>
    <t>佯攻信号(携带[曳光虫])</t>
  </si>
  <si>
    <t>闪燃信号</t>
  </si>
  <si>
    <t>闪燃信号(携带[曳光虫])</t>
  </si>
  <si>
    <t>烁烁幽光</t>
  </si>
  <si>
    <t>烁烁幽光(携带[曳光虫])</t>
  </si>
  <si>
    <t>引伴信号</t>
  </si>
  <si>
    <t>召唤物造成的伤害提高25.0%。</t>
  </si>
  <si>
    <t>应激闪光</t>
  </si>
  <si>
    <t>受到伤害或召唤召唤物时，获得1只[曳光虫]，效果每5秒最多触发1次。</t>
  </si>
  <si>
    <t>灵动流光</t>
  </si>
  <si>
    <t>生若繁星</t>
  </si>
  <si>
    <t>未携带[曳光虫]时，远程武器多重射击提高5.0%。携带[曳光虫]时，远程武器多重射击提高25.0%。</t>
  </si>
  <si>
    <t>轮回的巡游</t>
  </si>
  <si>
    <t>获得1次复苏次数。携带[曳光虫]时，受到的伤害降低20.0%，下一 次复苏后失去此效果 。</t>
  </si>
  <si>
    <t>静谧的告别</t>
  </si>
  <si>
    <t>静谧的告别(携带[曳光虫])</t>
  </si>
  <si>
    <t>御敌信号</t>
  </si>
  <si>
    <t>御敌信号(携带[曳光虫])</t>
  </si>
  <si>
    <t>集群信号</t>
  </si>
  <si>
    <t>自身周围有敌人时，[曳光虫]攻击间隔大幅缩短，持续5秒，效果每15秒最多触发1次。</t>
  </si>
  <si>
    <t>摇曳微光</t>
  </si>
  <si>
    <t>[曳光虫]造成的伤害提高60.0%。</t>
  </si>
  <si>
    <t>鲜血的贮存</t>
  </si>
  <si>
    <t>汲血花</t>
  </si>
  <si>
    <t>猩红之花</t>
  </si>
  <si>
    <t>生命值百分比小于100%时，神智自然恢复量提高6点;生命值百分比为100%时，神智自然恢复量提高2点。</t>
  </si>
  <si>
    <t>鲜血的淤塞</t>
  </si>
  <si>
    <t>生命值百分比小于100%时,近战武器触发概率提高120.0%;生命值百分比为100%时，近战武器触发概率提高60.0%。</t>
  </si>
  <si>
    <t>挣扎本能</t>
  </si>
  <si>
    <t>荆棘之叶</t>
  </si>
  <si>
    <t>受到伤害时，获得造成的伤害提高20.0%效果，持续10秒，效果每20秒最多触发1次。</t>
  </si>
  <si>
    <t>吞噬之根</t>
  </si>
  <si>
    <t>造成伤害时，在目标位置额外造成1次自身最大生命20.0%的范围伤害,效果每1秒最多触发1次。</t>
  </si>
  <si>
    <t>鲜血的涌动</t>
  </si>
  <si>
    <t>生命值百分比小于100%时，技能威力提高40.0%;生命值百分比为100%时，技能威力提高20.0%。</t>
  </si>
  <si>
    <t>鲜血的渴望</t>
  </si>
  <si>
    <t>造成的伤害提高20.0%，生命值百分比每降低1%，效果倍率增加1%，最多增加至40.0%。</t>
  </si>
  <si>
    <t>摄食本能</t>
  </si>
  <si>
    <t>生命值百分比小于100%时，近战武器暴击率提高90.0%;生命值百分比为100%时,近战武器暴击率提高45.0%。</t>
  </si>
  <si>
    <t>狂乱本能</t>
  </si>
  <si>
    <t>生命值百分比小于100%时，近战武器暴击伤害提高90.0%;生命值百分比为100%时，近战武器暴击伤害提高45.0%。</t>
  </si>
  <si>
    <t>鲜血的庇护</t>
  </si>
  <si>
    <t>受到伤害时，获得90超限护盾，效果每5秒最多触发1次。</t>
  </si>
  <si>
    <t>生存本能</t>
  </si>
  <si>
    <t>受到的单次伤害不会高于自身最大生命的30.0%，受到超过最大生命20.0%的伤害后5秒内，每秒回复最大生命2.0%的生命。</t>
  </si>
  <si>
    <t>汲取本能</t>
  </si>
  <si>
    <t>释放[终结技]时，失去全部防御，将失去值的160.0%转化为角色攻击，持续15秒，效果每30秒最多触发1次。</t>
  </si>
  <si>
    <t>枯萎之种</t>
  </si>
  <si>
    <t>枯萎之种(生命小于100%)</t>
  </si>
  <si>
    <t>纠缠之茎</t>
  </si>
  <si>
    <t>生命值百分比小于等于40%时，背水提高24.0%；生命值百分比大于40%时，背水提高12.0%。</t>
  </si>
  <si>
    <t>代码</t>
  </si>
  <si>
    <t>序号</t>
  </si>
  <si>
    <t>列1</t>
  </si>
  <si>
    <t>00UL</t>
  </si>
  <si>
    <t>015P</t>
  </si>
  <si>
    <t>015Q</t>
  </si>
  <si>
    <t>018H</t>
  </si>
  <si>
    <t>01E11</t>
  </si>
  <si>
    <t>01MD</t>
  </si>
  <si>
    <t>01RX</t>
  </si>
  <si>
    <t>02E5</t>
  </si>
  <si>
    <t>02JP</t>
  </si>
  <si>
    <t>035X</t>
  </si>
  <si>
    <t>038Q</t>
  </si>
  <si>
    <t>03BH</t>
  </si>
  <si>
    <t>03XP</t>
  </si>
  <si>
    <t>03XQ</t>
  </si>
  <si>
    <t>0439</t>
  </si>
  <si>
    <t>0461</t>
  </si>
  <si>
    <t>辉珀刃</t>
  </si>
  <si>
    <t>07SL</t>
  </si>
  <si>
    <t>追忆的残影</t>
  </si>
  <si>
    <t>07SN</t>
  </si>
  <si>
    <t>慧谋的攻守</t>
  </si>
  <si>
    <t>07SO</t>
  </si>
  <si>
    <t>塞壬的拥吻</t>
  </si>
  <si>
    <t>07VD</t>
  </si>
  <si>
    <t>春玦戟</t>
  </si>
  <si>
    <t>07VE</t>
  </si>
  <si>
    <t>07VG</t>
  </si>
  <si>
    <t>枯朽</t>
  </si>
  <si>
    <t>07VI</t>
  </si>
  <si>
    <t>铸铁者</t>
  </si>
  <si>
    <t>07Y6</t>
  </si>
  <si>
    <t>焦渴</t>
  </si>
  <si>
    <t>07Y7</t>
  </si>
  <si>
    <t>失乡的獠牙</t>
  </si>
  <si>
    <t>080X</t>
  </si>
  <si>
    <t>幽鲨眼</t>
  </si>
  <si>
    <t>080Z</t>
  </si>
  <si>
    <t>不渝的梦海</t>
  </si>
  <si>
    <t>083P</t>
  </si>
  <si>
    <t>缠结</t>
  </si>
  <si>
    <t>083R</t>
  </si>
  <si>
    <t>红叶一滴</t>
  </si>
  <si>
    <t>086H</t>
  </si>
  <si>
    <t>凋零</t>
  </si>
  <si>
    <t>086I</t>
  </si>
  <si>
    <t>炽灼</t>
  </si>
  <si>
    <t>08HL</t>
  </si>
  <si>
    <t>白</t>
  </si>
  <si>
    <t>涅槃</t>
  </si>
  <si>
    <t>08HM</t>
  </si>
  <si>
    <t>庇佑</t>
  </si>
  <si>
    <t>08HN</t>
  </si>
  <si>
    <t>羽翼</t>
  </si>
  <si>
    <t>08HO</t>
  </si>
  <si>
    <t>坚守</t>
  </si>
  <si>
    <t>08HR</t>
  </si>
  <si>
    <t>攻势</t>
  </si>
  <si>
    <t>099D</t>
  </si>
  <si>
    <t>099E</t>
  </si>
  <si>
    <t>099F</t>
  </si>
  <si>
    <t>缠缚</t>
  </si>
  <si>
    <t>099I</t>
  </si>
  <si>
    <t>09C5</t>
  </si>
  <si>
    <t>透析</t>
  </si>
  <si>
    <t>09C6</t>
  </si>
  <si>
    <t>重压</t>
  </si>
  <si>
    <t>09C7</t>
  </si>
  <si>
    <t>0A15</t>
  </si>
  <si>
    <t>0A16</t>
  </si>
  <si>
    <t>0A17</t>
  </si>
  <si>
    <t>0A1A</t>
  </si>
  <si>
    <t>0A3X</t>
  </si>
  <si>
    <t>0A3Y</t>
  </si>
  <si>
    <t>0A3Z</t>
  </si>
  <si>
    <t>0ASX</t>
  </si>
  <si>
    <t>同率近战</t>
  </si>
  <si>
    <t>0ASY</t>
  </si>
  <si>
    <t>0ASZ</t>
  </si>
  <si>
    <t>0AT0</t>
  </si>
  <si>
    <t>0AT2</t>
  </si>
  <si>
    <t>0BKP</t>
  </si>
  <si>
    <t>同率远程</t>
  </si>
  <si>
    <t>0BKQ</t>
  </si>
  <si>
    <t>0BKR</t>
  </si>
  <si>
    <t>0BKS</t>
  </si>
  <si>
    <t>0BKU</t>
  </si>
  <si>
    <t>无序奇点</t>
  </si>
  <si>
    <t>0FID</t>
  </si>
  <si>
    <t>0FIE</t>
  </si>
  <si>
    <t>赘生</t>
  </si>
  <si>
    <t>0FL5</t>
  </si>
  <si>
    <t>蓝色脉动</t>
  </si>
  <si>
    <t>0FL7</t>
  </si>
  <si>
    <t>群星无意赦免</t>
  </si>
  <si>
    <t>0FNX</t>
  </si>
  <si>
    <t>崩解</t>
  </si>
  <si>
    <t>0FNZ</t>
  </si>
  <si>
    <t>归墟棘轮</t>
  </si>
  <si>
    <t>0FO0</t>
  </si>
  <si>
    <t>银白敕令</t>
  </si>
  <si>
    <t>0FO1</t>
  </si>
  <si>
    <t>嘶鸣</t>
  </si>
  <si>
    <t>0FQP</t>
  </si>
  <si>
    <t>缄默育种者</t>
  </si>
  <si>
    <t>0FQQ</t>
  </si>
  <si>
    <t>销骨</t>
  </si>
  <si>
    <t>0FTH</t>
  </si>
  <si>
    <t>放逐怒雷</t>
  </si>
  <si>
    <t>0FTI</t>
  </si>
  <si>
    <t>祈请净火</t>
  </si>
  <si>
    <t>0FTJ</t>
  </si>
  <si>
    <t>织梦的白羽</t>
  </si>
  <si>
    <t>0FTP</t>
  </si>
  <si>
    <t>烈焰孤沙</t>
  </si>
  <si>
    <t>0FW9</t>
  </si>
  <si>
    <t>弧光百劫</t>
  </si>
  <si>
    <t>0FWA</t>
  </si>
  <si>
    <t>茵布拉花序</t>
  </si>
  <si>
    <t>0FWB</t>
  </si>
  <si>
    <t>裂魂</t>
  </si>
  <si>
    <t>0FWC</t>
  </si>
  <si>
    <t>炽灼·羽翼</t>
  </si>
  <si>
    <t>0G7H</t>
  </si>
  <si>
    <t>绿</t>
  </si>
  <si>
    <t>涅槃·庇佑</t>
  </si>
  <si>
    <t>0G7I</t>
  </si>
  <si>
    <t>全盛</t>
  </si>
  <si>
    <t>0GIH</t>
  </si>
  <si>
    <t>0GII</t>
  </si>
  <si>
    <t>0GIJ</t>
  </si>
  <si>
    <t>0GIK</t>
  </si>
  <si>
    <t>0GIL</t>
  </si>
  <si>
    <t>0GIM</t>
  </si>
  <si>
    <t>攻势·专注</t>
  </si>
  <si>
    <t>0GZB</t>
  </si>
  <si>
    <t>盛怒·缠缚</t>
  </si>
  <si>
    <t>0GZC</t>
  </si>
  <si>
    <t>锋锐·缠缚</t>
  </si>
  <si>
    <t>0H27</t>
  </si>
  <si>
    <t>透析·缠缚</t>
  </si>
  <si>
    <t>0H28</t>
  </si>
  <si>
    <t>重压·缠缚</t>
  </si>
  <si>
    <t>0H29</t>
  </si>
  <si>
    <t>0HR3</t>
  </si>
  <si>
    <t>0HR4</t>
  </si>
  <si>
    <t>0HTZ</t>
  </si>
  <si>
    <t>0HU0</t>
  </si>
  <si>
    <t>0HU1</t>
  </si>
  <si>
    <t>0IIP</t>
  </si>
  <si>
    <t>0IIQ</t>
  </si>
  <si>
    <t>0IIR</t>
  </si>
  <si>
    <t>0IIS</t>
  </si>
  <si>
    <t>领界</t>
  </si>
  <si>
    <t>0IIT</t>
  </si>
  <si>
    <t>0IIU</t>
  </si>
  <si>
    <t>0ILH</t>
  </si>
  <si>
    <t>0ILI</t>
  </si>
  <si>
    <t>0ILJ</t>
  </si>
  <si>
    <t>0JAH</t>
  </si>
  <si>
    <t>0JAI</t>
  </si>
  <si>
    <t>0JAJ</t>
  </si>
  <si>
    <t>0JAK</t>
  </si>
  <si>
    <t>0JAL</t>
  </si>
  <si>
    <t>0JAM</t>
  </si>
  <si>
    <t>0JD9</t>
  </si>
  <si>
    <t>0JDA</t>
  </si>
  <si>
    <t>0JDB</t>
  </si>
  <si>
    <t>0NX5</t>
  </si>
  <si>
    <t>蓝</t>
  </si>
  <si>
    <t>0NX6</t>
  </si>
  <si>
    <t>0NX7</t>
  </si>
  <si>
    <t>0NX8</t>
  </si>
  <si>
    <t>0NX9</t>
  </si>
  <si>
    <t>0NXA</t>
  </si>
  <si>
    <t>0NXB</t>
  </si>
  <si>
    <t>0NXC</t>
  </si>
  <si>
    <t>炽灼·庇佑</t>
  </si>
  <si>
    <t>0NXD</t>
  </si>
  <si>
    <t>0NXE</t>
  </si>
  <si>
    <t>涅槃·羽翼</t>
  </si>
  <si>
    <t>0NXF</t>
  </si>
  <si>
    <t>涅槃·坚守</t>
  </si>
  <si>
    <t>0NXG</t>
  </si>
  <si>
    <t>庇佑·羽翼</t>
  </si>
  <si>
    <t>0NXH</t>
  </si>
  <si>
    <t>庇佑·坚守</t>
  </si>
  <si>
    <t>0NXI</t>
  </si>
  <si>
    <t>羽翼·坚守</t>
  </si>
  <si>
    <t>0NXJ</t>
  </si>
  <si>
    <t>决断</t>
  </si>
  <si>
    <t>0O2P</t>
  </si>
  <si>
    <t>鼓舞</t>
  </si>
  <si>
    <t>0O2Q</t>
  </si>
  <si>
    <t>权能</t>
  </si>
  <si>
    <t>0O2R</t>
  </si>
  <si>
    <t>永恒</t>
  </si>
  <si>
    <t>0O2S</t>
  </si>
  <si>
    <t>鼓舞·消逝</t>
  </si>
  <si>
    <t>0O33</t>
  </si>
  <si>
    <t>鼓舞·散碎</t>
  </si>
  <si>
    <t>0O34</t>
  </si>
  <si>
    <t>羽翼·消逝</t>
  </si>
  <si>
    <t>0O35</t>
  </si>
  <si>
    <t>羽翼·散碎</t>
  </si>
  <si>
    <t>0O36</t>
  </si>
  <si>
    <t>羽翼·鼓舞</t>
  </si>
  <si>
    <t>0O5H</t>
  </si>
  <si>
    <t>虚无·决断</t>
  </si>
  <si>
    <t>0O61</t>
  </si>
  <si>
    <t>骇浪·决断</t>
  </si>
  <si>
    <t>0O62</t>
  </si>
  <si>
    <t>焚炎·决断</t>
  </si>
  <si>
    <t>0O63</t>
  </si>
  <si>
    <t>雷鸣·决断</t>
  </si>
  <si>
    <t>0O64</t>
  </si>
  <si>
    <t>凛风·决断</t>
  </si>
  <si>
    <t>0O65</t>
  </si>
  <si>
    <t>天光·决断</t>
  </si>
  <si>
    <t>0O66</t>
  </si>
  <si>
    <t>0O89</t>
  </si>
  <si>
    <t>0O8A</t>
  </si>
  <si>
    <t>0O8B</t>
  </si>
  <si>
    <t>0O8C</t>
  </si>
  <si>
    <t>0O8D</t>
  </si>
  <si>
    <t>0O8E</t>
  </si>
  <si>
    <t>旋刃</t>
  </si>
  <si>
    <t>0OB2</t>
  </si>
  <si>
    <t>腾跃</t>
  </si>
  <si>
    <t>0OBC</t>
  </si>
  <si>
    <t>激荡</t>
  </si>
  <si>
    <t>0OBD</t>
  </si>
  <si>
    <t>受身</t>
  </si>
  <si>
    <t>0OBL</t>
  </si>
  <si>
    <t>遮断</t>
  </si>
  <si>
    <t>0OBM</t>
  </si>
  <si>
    <t>不屈</t>
  </si>
  <si>
    <t>0OBN</t>
  </si>
  <si>
    <t>0OBO</t>
  </si>
  <si>
    <t>救济</t>
  </si>
  <si>
    <t>0OBP</t>
  </si>
  <si>
    <t>0OBQ</t>
  </si>
  <si>
    <t>退避</t>
  </si>
  <si>
    <t>0OBV</t>
  </si>
  <si>
    <t>引燃</t>
  </si>
  <si>
    <t>0OBW</t>
  </si>
  <si>
    <t>0OP0</t>
  </si>
  <si>
    <t>0OP1</t>
  </si>
  <si>
    <t>0ORP</t>
  </si>
  <si>
    <t>0ORQ</t>
  </si>
  <si>
    <t>0ORR</t>
  </si>
  <si>
    <t>连环</t>
  </si>
  <si>
    <t>0OUH</t>
  </si>
  <si>
    <t>幸运</t>
  </si>
  <si>
    <t>0OUI</t>
  </si>
  <si>
    <t>倾力</t>
  </si>
  <si>
    <t>0OX9</t>
  </si>
  <si>
    <t>时运</t>
  </si>
  <si>
    <t>0OXA</t>
  </si>
  <si>
    <t>0PGS</t>
  </si>
  <si>
    <t>0PGT</t>
  </si>
  <si>
    <t>0PJH</t>
  </si>
  <si>
    <t>0PJI</t>
  </si>
  <si>
    <t>0PJJ</t>
  </si>
  <si>
    <t>箭匣</t>
  </si>
  <si>
    <t>0PM9</t>
  </si>
  <si>
    <t>弓矢</t>
  </si>
  <si>
    <t>0PMA</t>
  </si>
  <si>
    <t>灵巧</t>
  </si>
  <si>
    <t>0PMB</t>
  </si>
  <si>
    <t>丰收</t>
  </si>
  <si>
    <t>0PMC</t>
  </si>
  <si>
    <t>余威</t>
  </si>
  <si>
    <t>0PPB</t>
  </si>
  <si>
    <t>横暴</t>
  </si>
  <si>
    <t>0PPL</t>
  </si>
  <si>
    <t>衰微</t>
  </si>
  <si>
    <t>0PPM</t>
  </si>
  <si>
    <t>追猎</t>
  </si>
  <si>
    <t>0PPV</t>
  </si>
  <si>
    <t>无患</t>
  </si>
  <si>
    <t>0PPW</t>
  </si>
  <si>
    <t>威压</t>
  </si>
  <si>
    <t>0PS3</t>
  </si>
  <si>
    <t>0Q8H</t>
  </si>
  <si>
    <t>0Q8I</t>
  </si>
  <si>
    <t>0Q8J</t>
  </si>
  <si>
    <t>0Q8K</t>
  </si>
  <si>
    <t>0Q8L</t>
  </si>
  <si>
    <t>0Q8M</t>
  </si>
  <si>
    <t>0QB9</t>
  </si>
  <si>
    <t>0QBA</t>
  </si>
  <si>
    <t>0QBB</t>
  </si>
  <si>
    <t>0R09</t>
  </si>
  <si>
    <t>0R0A</t>
  </si>
  <si>
    <t>0R0B</t>
  </si>
  <si>
    <t>0R0C</t>
  </si>
  <si>
    <t>0R0D</t>
  </si>
  <si>
    <t>0R0E</t>
  </si>
  <si>
    <t>0R31</t>
  </si>
  <si>
    <t>0R32</t>
  </si>
  <si>
    <t>0R33</t>
  </si>
  <si>
    <t>0VMX</t>
  </si>
  <si>
    <t>紫</t>
  </si>
  <si>
    <t>0VMY</t>
  </si>
  <si>
    <t>0VMZ</t>
  </si>
  <si>
    <t>0VN0</t>
  </si>
  <si>
    <t>0VN3</t>
  </si>
  <si>
    <t>永恒·克己</t>
  </si>
  <si>
    <t>0VST</t>
  </si>
  <si>
    <t>权能·预兆</t>
  </si>
  <si>
    <t>0VSU</t>
  </si>
  <si>
    <t>0VVJ</t>
  </si>
  <si>
    <t>蛮勇</t>
  </si>
  <si>
    <t>0VVK</t>
  </si>
  <si>
    <t>0VVL</t>
  </si>
  <si>
    <t>陷阵</t>
  </si>
  <si>
    <t>0VVM</t>
  </si>
  <si>
    <t>0VVN</t>
  </si>
  <si>
    <t>不息</t>
  </si>
  <si>
    <t>0VVO</t>
  </si>
  <si>
    <t>虚无·燎原</t>
  </si>
  <si>
    <t>0VVT</t>
  </si>
  <si>
    <t>骇浪·燎原</t>
  </si>
  <si>
    <t>0VVU</t>
  </si>
  <si>
    <t>焚炎·燎原</t>
  </si>
  <si>
    <t>0VVV</t>
  </si>
  <si>
    <t>雷鸣·燎原</t>
  </si>
  <si>
    <t>0VVW</t>
  </si>
  <si>
    <t>0VVX</t>
  </si>
  <si>
    <t>天光·燎原</t>
  </si>
  <si>
    <t>0VVY</t>
  </si>
  <si>
    <t>虚无·极昼</t>
  </si>
  <si>
    <t>0VW3</t>
  </si>
  <si>
    <t>骇浪·极昼</t>
  </si>
  <si>
    <t>0VW4</t>
  </si>
  <si>
    <t>焚炎·极昼</t>
  </si>
  <si>
    <t>0VW5</t>
  </si>
  <si>
    <t>雷鸣·极昼</t>
  </si>
  <si>
    <t>0VW6</t>
  </si>
  <si>
    <t>凛风·极昼</t>
  </si>
  <si>
    <t>0VW7</t>
  </si>
  <si>
    <t>天光·极昼</t>
  </si>
  <si>
    <t>0VW8</t>
  </si>
  <si>
    <t>全盛·昂扬</t>
  </si>
  <si>
    <t>0VYB</t>
  </si>
  <si>
    <t>0VYC</t>
  </si>
  <si>
    <t>全盛·追袭</t>
  </si>
  <si>
    <t>0VYD</t>
  </si>
  <si>
    <t>0VYE</t>
  </si>
  <si>
    <t>0VYF</t>
  </si>
  <si>
    <t>0VYL</t>
  </si>
  <si>
    <t>0VYM</t>
  </si>
  <si>
    <t>0VYN</t>
  </si>
  <si>
    <t>0VYO</t>
  </si>
  <si>
    <t>0VYP</t>
  </si>
  <si>
    <t>0VYV</t>
  </si>
  <si>
    <t>0VYW</t>
  </si>
  <si>
    <t>0VYX</t>
  </si>
  <si>
    <t>0VYY</t>
  </si>
  <si>
    <t>0VYZ</t>
  </si>
  <si>
    <t>0VZ5</t>
  </si>
  <si>
    <t>0VZ6</t>
  </si>
  <si>
    <t>0VZ7</t>
  </si>
  <si>
    <t>0VZ8</t>
  </si>
  <si>
    <t>0VZ9</t>
  </si>
  <si>
    <t>0VZF</t>
  </si>
  <si>
    <t>0VZG</t>
  </si>
  <si>
    <t>0VZH</t>
  </si>
  <si>
    <t>0VZI</t>
  </si>
  <si>
    <t>0VZJ</t>
  </si>
  <si>
    <t>0VZP</t>
  </si>
  <si>
    <t>0VZQ</t>
  </si>
  <si>
    <t>0VZR</t>
  </si>
  <si>
    <t>0VZS</t>
  </si>
  <si>
    <t>0VZT</t>
  </si>
  <si>
    <t>0W6N</t>
  </si>
  <si>
    <t>0W6O</t>
  </si>
  <si>
    <t>0W6P</t>
  </si>
  <si>
    <t>0W6Q</t>
  </si>
  <si>
    <t>0W6X</t>
  </si>
  <si>
    <t>0W6Y</t>
  </si>
  <si>
    <t>0W6Z</t>
  </si>
  <si>
    <t>0W70</t>
  </si>
  <si>
    <t>0W77</t>
  </si>
  <si>
    <t>炽灼·永恒</t>
  </si>
  <si>
    <t>0W78</t>
  </si>
  <si>
    <t>0W79</t>
  </si>
  <si>
    <t>0W7A</t>
  </si>
  <si>
    <t>0W7H</t>
  </si>
  <si>
    <t>0W7I</t>
  </si>
  <si>
    <t>0W7J</t>
  </si>
  <si>
    <t>坚守·永恒</t>
  </si>
  <si>
    <t>0W7K</t>
  </si>
  <si>
    <t>0W7R</t>
  </si>
  <si>
    <t>0W7S</t>
  </si>
  <si>
    <t>0W7T</t>
  </si>
  <si>
    <t>0W7U</t>
  </si>
  <si>
    <t>0W81</t>
  </si>
  <si>
    <t>0W82</t>
  </si>
  <si>
    <t>0W83</t>
  </si>
  <si>
    <t>0W84</t>
  </si>
  <si>
    <t>锋芒单手剑</t>
  </si>
  <si>
    <t>0W95</t>
  </si>
  <si>
    <t>锋芒长柄</t>
  </si>
  <si>
    <t>0W96</t>
  </si>
  <si>
    <t>锋芒重剑</t>
  </si>
  <si>
    <t>0W97</t>
  </si>
  <si>
    <t>锋芒双刀</t>
  </si>
  <si>
    <t>0W98</t>
  </si>
  <si>
    <t>锋芒鞭刃</t>
  </si>
  <si>
    <t>0W99</t>
  </si>
  <si>
    <t>锋芒太刀</t>
  </si>
  <si>
    <t>0W9A</t>
  </si>
  <si>
    <t>锋芒手枪</t>
  </si>
  <si>
    <t>0W9B</t>
  </si>
  <si>
    <t>锋芒双枪</t>
  </si>
  <si>
    <t>0W9C</t>
  </si>
  <si>
    <t>锋芒榴炮</t>
  </si>
  <si>
    <t>0W9D</t>
  </si>
  <si>
    <t>锋芒霰弹枪</t>
  </si>
  <si>
    <t>0W9E</t>
  </si>
  <si>
    <t>锋芒突击枪</t>
  </si>
  <si>
    <t>0W9F</t>
  </si>
  <si>
    <t>锋芒弓</t>
  </si>
  <si>
    <t>0W9G</t>
  </si>
  <si>
    <t>虚妄献祭</t>
  </si>
  <si>
    <t>0WC7</t>
  </si>
  <si>
    <t>0WCH</t>
  </si>
  <si>
    <t>0WCI</t>
  </si>
  <si>
    <t>焚心野火</t>
  </si>
  <si>
    <t>0WCR</t>
  </si>
  <si>
    <t>雷云摧朽</t>
  </si>
  <si>
    <t>0WD1</t>
  </si>
  <si>
    <t>薰风吐息</t>
  </si>
  <si>
    <t>0WDB</t>
  </si>
  <si>
    <t>0WDC</t>
  </si>
  <si>
    <t>0WDL</t>
  </si>
  <si>
    <t>0WDM</t>
  </si>
  <si>
    <t>0WEP</t>
  </si>
  <si>
    <t>0WEQ</t>
  </si>
  <si>
    <t>0WER</t>
  </si>
  <si>
    <t>0WEU</t>
  </si>
  <si>
    <t>连环·缠缚</t>
  </si>
  <si>
    <t>0WKB</t>
  </si>
  <si>
    <t>暴虐</t>
  </si>
  <si>
    <t>0WNB</t>
  </si>
  <si>
    <t>狂热</t>
  </si>
  <si>
    <t>0WNC</t>
  </si>
  <si>
    <t>警觉</t>
  </si>
  <si>
    <t>0WNL</t>
  </si>
  <si>
    <t>巡游</t>
  </si>
  <si>
    <t>0WNM</t>
  </si>
  <si>
    <t>坠击</t>
  </si>
  <si>
    <t>0WPT</t>
  </si>
  <si>
    <t>瞬袭</t>
  </si>
  <si>
    <t>0WPV</t>
  </si>
  <si>
    <t>迅捷坠击</t>
  </si>
  <si>
    <t>0WQ3</t>
  </si>
  <si>
    <t>迅捷蓄势</t>
  </si>
  <si>
    <t>0WQ4</t>
  </si>
  <si>
    <t>迅捷闪击</t>
  </si>
  <si>
    <t>0WQ5</t>
  </si>
  <si>
    <t>残影</t>
  </si>
  <si>
    <t>0WQD</t>
  </si>
  <si>
    <t>狩猎秽兽</t>
  </si>
  <si>
    <t>0WSL</t>
  </si>
  <si>
    <t>狩猎军团</t>
  </si>
  <si>
    <t>0WSM</t>
  </si>
  <si>
    <t>狩猎神使</t>
  </si>
  <si>
    <t>0WSN</t>
  </si>
  <si>
    <t>狩猎神弃者</t>
  </si>
  <si>
    <t>0WSO</t>
  </si>
  <si>
    <t>刺透</t>
  </si>
  <si>
    <t>0WSV</t>
  </si>
  <si>
    <t>割裂</t>
  </si>
  <si>
    <t>0WSW</t>
  </si>
  <si>
    <t>0X6H</t>
  </si>
  <si>
    <t>0X6I</t>
  </si>
  <si>
    <t>0X6J</t>
  </si>
  <si>
    <t>0X6M</t>
  </si>
  <si>
    <t>0X6O</t>
  </si>
  <si>
    <t>重压·箭匣</t>
  </si>
  <si>
    <t>0X9V</t>
  </si>
  <si>
    <t>整备</t>
  </si>
  <si>
    <t>0XET</t>
  </si>
  <si>
    <t>俭约</t>
  </si>
  <si>
    <t>0XFX</t>
  </si>
  <si>
    <t>怒火爆破</t>
  </si>
  <si>
    <t>0XHL</t>
  </si>
  <si>
    <t>怒火射线</t>
  </si>
  <si>
    <t>0XHM</t>
  </si>
  <si>
    <t>聚焦</t>
  </si>
  <si>
    <t>0XHN</t>
  </si>
  <si>
    <t>增速</t>
  </si>
  <si>
    <t>0XHO</t>
  </si>
  <si>
    <t>失速</t>
  </si>
  <si>
    <t>0XHP</t>
  </si>
  <si>
    <t>0XKD</t>
  </si>
  <si>
    <t>0XKE</t>
  </si>
  <si>
    <t>0XKF</t>
  </si>
  <si>
    <t>0XKG</t>
  </si>
  <si>
    <t>0XKN</t>
  </si>
  <si>
    <t>0XKO</t>
  </si>
  <si>
    <t>专注·厚重</t>
  </si>
  <si>
    <t>0XN5</t>
  </si>
  <si>
    <t>迅捷·狡黠</t>
  </si>
  <si>
    <t>0XN6</t>
  </si>
  <si>
    <t>箭匣·整备</t>
  </si>
  <si>
    <t>0XN7</t>
  </si>
  <si>
    <t>箭雨</t>
  </si>
  <si>
    <t>0XN8</t>
  </si>
  <si>
    <t>0XY9</t>
  </si>
  <si>
    <t>0XYA</t>
  </si>
  <si>
    <t>0XYB</t>
  </si>
  <si>
    <t>0XYC</t>
  </si>
  <si>
    <t>0XYD</t>
  </si>
  <si>
    <t>0XYE</t>
  </si>
  <si>
    <t>0Y11</t>
  </si>
  <si>
    <t>0Y12</t>
  </si>
  <si>
    <t>0Y13</t>
  </si>
  <si>
    <t>0YQ1</t>
  </si>
  <si>
    <t>0YQ2</t>
  </si>
  <si>
    <t>0YQ3</t>
  </si>
  <si>
    <t>0YQ4</t>
  </si>
  <si>
    <t>0YQ5</t>
  </si>
  <si>
    <t>0YQ6</t>
  </si>
  <si>
    <t>0YST</t>
  </si>
  <si>
    <t>0YSU</t>
  </si>
  <si>
    <t>0YSV</t>
  </si>
  <si>
    <t>13CQ</t>
  </si>
  <si>
    <t>13CR</t>
  </si>
  <si>
    <t>13CV</t>
  </si>
  <si>
    <t>13L1</t>
  </si>
  <si>
    <t>13LB</t>
  </si>
  <si>
    <t>13LC</t>
  </si>
  <si>
    <t>13LD</t>
  </si>
  <si>
    <t>13LE</t>
  </si>
  <si>
    <t>13LF</t>
  </si>
  <si>
    <t>13LG</t>
  </si>
  <si>
    <t>13LL</t>
  </si>
  <si>
    <t>13LM</t>
  </si>
  <si>
    <t>13LN</t>
  </si>
  <si>
    <t>13LO</t>
  </si>
  <si>
    <t>13LP</t>
  </si>
  <si>
    <t>13LQ</t>
  </si>
  <si>
    <t>13LV</t>
  </si>
  <si>
    <t>13LW</t>
  </si>
  <si>
    <t>13LX</t>
  </si>
  <si>
    <t>13LY</t>
  </si>
  <si>
    <t>13LZ</t>
  </si>
  <si>
    <t>13M0</t>
  </si>
  <si>
    <t>13O3</t>
  </si>
  <si>
    <t>13O4</t>
  </si>
  <si>
    <t>13O5</t>
  </si>
  <si>
    <t>13O6</t>
  </si>
  <si>
    <t>13O7</t>
  </si>
  <si>
    <t>13OD</t>
  </si>
  <si>
    <t>13OE</t>
  </si>
  <si>
    <t>13OF</t>
  </si>
  <si>
    <t>13OG</t>
  </si>
  <si>
    <t>13OH</t>
  </si>
  <si>
    <t>13ON</t>
  </si>
  <si>
    <t>13OO</t>
  </si>
  <si>
    <t>13OP</t>
  </si>
  <si>
    <t>13OQ</t>
  </si>
  <si>
    <t>13OR</t>
  </si>
  <si>
    <t>13OX</t>
  </si>
  <si>
    <t>13OY</t>
  </si>
  <si>
    <t>13OZ</t>
  </si>
  <si>
    <t>13P0</t>
  </si>
  <si>
    <t>13P1</t>
  </si>
  <si>
    <t>13P7</t>
  </si>
  <si>
    <t>13P8</t>
  </si>
  <si>
    <t>13P9</t>
  </si>
  <si>
    <t>13PA</t>
  </si>
  <si>
    <t>13PB</t>
  </si>
  <si>
    <t>13PH</t>
  </si>
  <si>
    <t>13PI</t>
  </si>
  <si>
    <t>13PJ</t>
  </si>
  <si>
    <t>13PK</t>
  </si>
  <si>
    <t>13PL</t>
  </si>
  <si>
    <t>13WF</t>
  </si>
  <si>
    <t>13WG</t>
  </si>
  <si>
    <t>13WH</t>
  </si>
  <si>
    <t>13WI</t>
  </si>
  <si>
    <t>13WP</t>
  </si>
  <si>
    <t>13WQ</t>
  </si>
  <si>
    <t>13WR</t>
  </si>
  <si>
    <t>13WS</t>
  </si>
  <si>
    <t>13WZ</t>
  </si>
  <si>
    <t>13X0</t>
  </si>
  <si>
    <t>13X1</t>
  </si>
  <si>
    <t>13X2</t>
  </si>
  <si>
    <t>13X9</t>
  </si>
  <si>
    <t>13XA</t>
  </si>
  <si>
    <t>13XB</t>
  </si>
  <si>
    <t>13XC</t>
  </si>
  <si>
    <t>13XJ</t>
  </si>
  <si>
    <t>13XK</t>
  </si>
  <si>
    <t>13XL</t>
  </si>
  <si>
    <t>13XM</t>
  </si>
  <si>
    <t>13XT</t>
  </si>
  <si>
    <t>13XU</t>
  </si>
  <si>
    <t>13XV</t>
  </si>
  <si>
    <t>13XW</t>
  </si>
  <si>
    <t>13YX</t>
  </si>
  <si>
    <t>13YY</t>
  </si>
  <si>
    <t>13YZ</t>
  </si>
  <si>
    <t>13Z0</t>
  </si>
  <si>
    <t>13Z1</t>
  </si>
  <si>
    <t>13Z2</t>
  </si>
  <si>
    <t>13Z3</t>
  </si>
  <si>
    <t>13Z4</t>
  </si>
  <si>
    <t>13Z5</t>
  </si>
  <si>
    <t>13Z6</t>
  </si>
  <si>
    <t>13Z7</t>
  </si>
  <si>
    <t>13Z8</t>
  </si>
  <si>
    <t>141Z</t>
  </si>
  <si>
    <t>1429</t>
  </si>
  <si>
    <t>142A</t>
  </si>
  <si>
    <t>142J</t>
  </si>
  <si>
    <t>142T</t>
  </si>
  <si>
    <t>143D</t>
  </si>
  <si>
    <t>143E</t>
  </si>
  <si>
    <t>144H</t>
  </si>
  <si>
    <t>144K</t>
  </si>
  <si>
    <t>144L</t>
  </si>
  <si>
    <t>144N</t>
  </si>
  <si>
    <t>144O</t>
  </si>
  <si>
    <t>147A</t>
  </si>
  <si>
    <t>147B</t>
  </si>
  <si>
    <t>14W9</t>
  </si>
  <si>
    <t>14WC</t>
  </si>
  <si>
    <t>14WD</t>
  </si>
  <si>
    <t>14WF</t>
  </si>
  <si>
    <t>14WG</t>
  </si>
  <si>
    <t>14Z1</t>
  </si>
  <si>
    <t>14Z2</t>
  </si>
  <si>
    <t>14Z3</t>
  </si>
  <si>
    <t>15O1</t>
  </si>
  <si>
    <t>15O2</t>
  </si>
  <si>
    <t>15O3</t>
  </si>
  <si>
    <t>15O4</t>
  </si>
  <si>
    <t>15O5</t>
  </si>
  <si>
    <t>15O6</t>
  </si>
  <si>
    <t>15QT</t>
  </si>
  <si>
    <t>15QU</t>
  </si>
  <si>
    <t>15QV</t>
  </si>
  <si>
    <t>16FT</t>
  </si>
  <si>
    <t>16FU</t>
  </si>
  <si>
    <t>16FV</t>
  </si>
  <si>
    <t>16FW</t>
  </si>
  <si>
    <t>16FX</t>
  </si>
  <si>
    <t>16FY</t>
  </si>
  <si>
    <t>16IL</t>
  </si>
  <si>
    <t>16IM</t>
  </si>
  <si>
    <t>16IN</t>
  </si>
  <si>
    <t>幻光闪烁</t>
  </si>
  <si>
    <t>25XL</t>
  </si>
  <si>
    <t>裂变剑域</t>
  </si>
  <si>
    <t>25XM</t>
  </si>
  <si>
    <t>多重贯通</t>
  </si>
  <si>
    <t>26PD</t>
  </si>
  <si>
    <t>震撼回音</t>
  </si>
  <si>
    <t>26PE</t>
  </si>
  <si>
    <t>统御穿刺</t>
  </si>
  <si>
    <t>26PF</t>
  </si>
  <si>
    <t>穿引共鸣</t>
  </si>
  <si>
    <t>26PG</t>
  </si>
  <si>
    <t>无锋剑意</t>
  </si>
  <si>
    <t>27H5</t>
  </si>
  <si>
    <t>狂野突刺</t>
  </si>
  <si>
    <t>27H6</t>
  </si>
  <si>
    <t>穿花刺骨</t>
  </si>
  <si>
    <t>288X</t>
  </si>
  <si>
    <t>刀尖把戏</t>
  </si>
  <si>
    <t>288Y</t>
  </si>
  <si>
    <t>乱花斩月</t>
  </si>
  <si>
    <t>29SH</t>
  </si>
  <si>
    <t>惩戒的炼火</t>
  </si>
  <si>
    <t>鎏金岁月</t>
  </si>
  <si>
    <t>蒙恩御礼</t>
  </si>
  <si>
    <t>孤子的缚锁</t>
  </si>
  <si>
    <t>流浪的蔷薇</t>
  </si>
  <si>
    <t>苍瑚凝碧</t>
  </si>
  <si>
    <t>告谕圣音</t>
  </si>
  <si>
    <t>引浪小调</t>
  </si>
  <si>
    <t>破晓赞美诗</t>
  </si>
  <si>
    <t>告谕圣言</t>
  </si>
  <si>
    <t>爆破艺术</t>
  </si>
  <si>
    <t>圣裁日</t>
  </si>
  <si>
    <t>减伤</t>
  </si>
  <si>
    <t>效果</t>
  </si>
  <si>
    <t>不死鸟</t>
  </si>
  <si>
    <t>狮鹫</t>
  </si>
  <si>
    <t>V</t>
  </si>
  <si>
    <t>百首</t>
  </si>
  <si>
    <t>暗水火雷风光</t>
  </si>
  <si>
    <t>A</t>
  </si>
  <si>
    <t>每3秒回复12神智</t>
  </si>
  <si>
    <t>契约者</t>
  </si>
  <si>
    <t>光暗</t>
  </si>
  <si>
    <t>O</t>
  </si>
  <si>
    <t>雷风</t>
  </si>
  <si>
    <t>D</t>
  </si>
  <si>
    <t>雷暗</t>
  </si>
  <si>
    <t>光风</t>
  </si>
  <si>
    <t>火风</t>
  </si>
  <si>
    <t>水暗</t>
  </si>
  <si>
    <t>水火</t>
  </si>
  <si>
    <t>水雷</t>
  </si>
  <si>
    <t>海妖</t>
  </si>
  <si>
    <t>夜使</t>
  </si>
  <si>
    <t>雷属性角色释放技能时，获得1层技能伤害提高9.9%，持续16.0秒，最多叠加8.0层。</t>
  </si>
  <si>
    <t>金乌</t>
  </si>
  <si>
    <t>光属性角色的攻击提高，倍率为自身技能耐久的89.1%，最大不超过215%。</t>
  </si>
  <si>
    <t>黄衣</t>
  </si>
  <si>
    <t>风属性角色释放战技时，获得技能威力提高154.0%，持续6.0秒。</t>
  </si>
  <si>
    <t>风属性角色远程武器触发额外效果时，为自身和队友附加背水提高9.9%，持续10.0秒。</t>
  </si>
  <si>
    <t>焰灵</t>
  </si>
  <si>
    <t>火属性角色造成伤害时，获得1层攻击提高1.8%，持续15.0秒，最多叠加120.0层。</t>
  </si>
  <si>
    <t>巨鲸</t>
  </si>
  <si>
    <t>水属性角色召唤物获得角色近战武器攻击速度49.5%的攻击速度和角色技能范围24.2%的技能范围。</t>
  </si>
  <si>
    <t>水属性角色释放技能时，为附近队友附加攻击提高，数值为本角色攻击的20.9%，上限275，持续10.0秒。</t>
  </si>
  <si>
    <t>审判者</t>
  </si>
  <si>
    <t>暗属性角色消耗神智时，获得1层武器暴击率提高9.9%，持续15.0秒，最多叠加15.0层。</t>
  </si>
  <si>
    <t>人面狮</t>
  </si>
  <si>
    <t>受到的伤害降低22.0%。消灭敌人时，获得1层攻击提高11.0%，持续30.0秒，最多叠加15.0层，叠加时刷新剩余时间。</t>
  </si>
  <si>
    <t>委托和梦魇残声战斗开始时，获得技能威力提高100.0%，持续30.0秒</t>
  </si>
  <si>
    <t>周围20米内不超过2名敌人时，造成的伤害提高44.0%。</t>
  </si>
  <si>
    <t>按照周围20米内的敌人数量提高自身造成的伤害，每有1名敌人造成的伤害提高2.2%，最多提高44.0%。</t>
  </si>
  <si>
    <t>对战姿失衡状态中的敌人造成伤害后，使其因处于战姿失衡状态受到的伤害提高效果量提高44.0%</t>
  </si>
  <si>
    <t>委托和梦魇残声中，每复苏1次，自身攻击提高77.0%，最多提高231.0%</t>
  </si>
  <si>
    <t>中庭蛇</t>
  </si>
  <si>
    <t>牧神</t>
  </si>
  <si>
    <t>羽蛇</t>
  </si>
  <si>
    <t>每3秒回复7神智</t>
  </si>
  <si>
    <t>决断·刹那(没出)</t>
  </si>
  <si>
    <t/>
  </si>
  <si>
    <t>暗属性角色消耗神智时，获得1层武器暴击率提高5.4%，持续15.0秒，最多叠加15.0层。</t>
  </si>
  <si>
    <t>水属性角色召唤物获得角色近战武器攻击速度27.0%的攻击速度和角色技能范围13.2%的技能范围。</t>
  </si>
  <si>
    <t>水属性角色释放技能时，为附近队友附加攻击提高，数值为本角色攻击的11.4%，上限275，持续10.0秒。</t>
  </si>
  <si>
    <t>火属性角色造成伤害时，获得1层攻击提高1.0%，持续15.0秒，最多叠加120.0层。</t>
  </si>
  <si>
    <t>雷属性角色释放技能时，获得1层技能伤害提高5.4%，持续16.0秒，最多叠加8.0层。</t>
  </si>
  <si>
    <t>风属性角色释放战技时，获得技能威力提高84.0%，持续6.0秒。</t>
  </si>
  <si>
    <t>风属性角色远程武器触发额外效果时，为自身和队友附加背水提高5.4%，持续10.0秒。</t>
  </si>
  <si>
    <t>光属性角色周围的敌人受到武器伤害时，暴击率提高32.7%，对带有额外效果负面状态的目标额外提高8.2%。</t>
  </si>
  <si>
    <t>光属性角色的攻击提高，倍率为自身技能耐久的48.6%，最大不超过117%。</t>
  </si>
  <si>
    <t>限定</t>
  </si>
  <si>
    <t>物理</t>
  </si>
  <si>
    <t>滑行伤害</t>
  </si>
  <si>
    <t>滑行速度</t>
  </si>
  <si>
    <t>下落伤害</t>
  </si>
  <si>
    <t>下落速度</t>
  </si>
  <si>
    <t>蓄力速度</t>
  </si>
  <si>
    <t>弹药</t>
  </si>
  <si>
    <t>弹匣</t>
  </si>
  <si>
    <t>装填</t>
  </si>
  <si>
    <t>弹转</t>
  </si>
  <si>
    <t>触发倍率</t>
  </si>
  <si>
    <t>冥犬</t>
  </si>
  <si>
    <t>切割</t>
  </si>
  <si>
    <t>震荡</t>
  </si>
  <si>
    <t>贯穿</t>
  </si>
  <si>
    <t>夜魔</t>
  </si>
  <si>
    <t>囚狼</t>
  </si>
  <si>
    <t>滑铲攻击造成伤害时，有100.0%概率额外获得1连击点数。</t>
  </si>
  <si>
    <t>伤害触发震荡额外效果后，获得1层暴击伤害提高10.0%，持续10.0秒，最多叠加10层。</t>
  </si>
  <si>
    <t>伤害触发额外效果后，获得1层攻击范围提高0.6，持续10.0秒，最多叠加2层。</t>
  </si>
  <si>
    <t>击败敌人后，获得1层攻击速度提高30.0%，持续10.0秒，最多叠加2层。</t>
  </si>
  <si>
    <t>击败敌人后，获得移动速度提高20.0%，持续10.0秒。</t>
  </si>
  <si>
    <t>连击持续时间+6</t>
  </si>
  <si>
    <t>邪龙</t>
  </si>
  <si>
    <t>根据连击等级提高暴击率，每连击等级提高20%</t>
  </si>
  <si>
    <t>通过攻击获得连击点数时，有100.0%概率额外获得1点。</t>
  </si>
  <si>
    <t>根据连击等级提高触发概率，每连击等级提高16.0%</t>
  </si>
  <si>
    <t>子弹爆炸范围+1.5</t>
  </si>
  <si>
    <t>伤害触发额外效果后，30.0%概率回复1枚弹药。</t>
  </si>
  <si>
    <t>伤害触发额外效果后，获得1层多重射击提高10.0%，持续10.0秒，最多叠加5层。</t>
  </si>
  <si>
    <t>伤害暴击后，有100%概率将目标缴械。</t>
  </si>
  <si>
    <t>伤害暴击后，获得1层触发概率提高30.0%，持续5.0秒，最多叠加5层。</t>
  </si>
  <si>
    <t>击败敌人后，在目标位置引发一次爆炸，对6.0米范围内的敌人造成远程武器攻击15%的伤害。</t>
  </si>
  <si>
    <t>异化冥犬</t>
  </si>
  <si>
    <t>异化夜魔</t>
  </si>
  <si>
    <t>类别</t>
  </si>
  <si>
    <t>基础暴击</t>
  </si>
  <si>
    <t>基础暴伤</t>
  </si>
  <si>
    <t>基础触发</t>
  </si>
  <si>
    <t>攻击范围</t>
  </si>
  <si>
    <t>弹道</t>
  </si>
  <si>
    <t>非弹道</t>
  </si>
  <si>
    <t>同律远程</t>
  </si>
  <si>
    <t>同律近战</t>
  </si>
  <si>
    <t>武器类型</t>
  </si>
  <si>
    <t>倍率</t>
  </si>
  <si>
    <t>段数</t>
  </si>
  <si>
    <t>二段伤害</t>
  </si>
  <si>
    <t>三段伤害</t>
  </si>
  <si>
    <t>四段伤害</t>
  </si>
  <si>
    <t>五段伤害</t>
  </si>
  <si>
    <t>滑行攻击伤害</t>
  </si>
  <si>
    <t>蓄力攻击伤害</t>
  </si>
  <si>
    <t>下落攻击伤害</t>
  </si>
  <si>
    <t>震撼回音下落一段</t>
  </si>
  <si>
    <t>震撼回音下落二段</t>
  </si>
  <si>
    <t>统御穿刺一段伤害</t>
  </si>
  <si>
    <t>统御穿刺二段伤害</t>
  </si>
  <si>
    <t>统御穿刺三段伤害</t>
  </si>
  <si>
    <t>统御穿刺三段伤害收尾</t>
  </si>
  <si>
    <t>多重贯通蓄力攻击</t>
  </si>
  <si>
    <t>穿引共鸣蓄力攻击</t>
  </si>
  <si>
    <t>无锋剑意一段伤害</t>
  </si>
  <si>
    <t>无锋剑意二段伤害</t>
  </si>
  <si>
    <t>无锋剑意三段伤害剑气</t>
  </si>
  <si>
    <t>无锋剑意三段伤害命中</t>
  </si>
  <si>
    <t>狂野突刺蓄力攻击接触</t>
  </si>
  <si>
    <t>狂野突刺蓄力攻击结束</t>
  </si>
  <si>
    <t>蓄力攻击终结倍率</t>
  </si>
  <si>
    <t>刀尖把戏一段伤害</t>
  </si>
  <si>
    <t>刀尖把戏二段伤害</t>
  </si>
  <si>
    <t>刀尖把戏三段伤害</t>
  </si>
  <si>
    <t>刀尖把戏四段伤害</t>
  </si>
  <si>
    <t>穿花刺骨滑行攻击</t>
  </si>
  <si>
    <t>乱花斩月蓄力首段</t>
  </si>
  <si>
    <t>乱花斩月蓄力斩击</t>
  </si>
  <si>
    <t>乱花斩月蓄力收尾</t>
  </si>
  <si>
    <t>武器名称</t>
  </si>
  <si>
    <t>弹片数</t>
  </si>
  <si>
    <t>射速</t>
  </si>
  <si>
    <t>弧光百劫,裂魂</t>
  </si>
  <si>
    <t>二阶子弹伤害</t>
  </si>
  <si>
    <t>三阶子弹伤害</t>
  </si>
  <si>
    <t>二段爆炸伤害</t>
  </si>
  <si>
    <t>持续伤害</t>
  </si>
  <si>
    <t>四阶子弹伤害</t>
  </si>
  <si>
    <t>射线伤害</t>
  </si>
  <si>
    <t>二阶射线伤害</t>
  </si>
  <si>
    <t>三阶射线伤害</t>
  </si>
  <si>
    <t>祈请净火,织梦的白羽</t>
  </si>
  <si>
    <t>无序奇点,剥离,告谕圣言</t>
  </si>
  <si>
    <t>蓝色脉动,赘生,告谕圣音</t>
  </si>
  <si>
    <t>爆炸伤害</t>
  </si>
  <si>
    <t>S级蓄力攻击伤害</t>
  </si>
  <si>
    <t>一段剑气伤害</t>
  </si>
  <si>
    <t>二段剑气伤害</t>
  </si>
  <si>
    <t>三段剑气伤害</t>
  </si>
  <si>
    <t>四段剑气伤害</t>
  </si>
  <si>
    <t>五段剑气伤害</t>
  </si>
  <si>
    <t>技能开启剑气伤害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</si>
</sst>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  <numFmt numFmtId="178" formatCode="0_ "/>
    <numFmt numFmtId="179" formatCode="&quot;总&quot;0.0%"/>
    <numFmt numFmtId="180" formatCode="General&quot;级&quot;"/>
    <numFmt numFmtId="181" formatCode="\+General"/>
    <numFmt numFmtId="182" formatCode="General\x"/>
    <numFmt numFmtId="183" formatCode="General&quot;级技能&quot;"/>
  </numFmts>
  <fonts count="34">
    <font>
      <sz val="11"/>
      <color theme="1"/>
      <name val="等线"/>
      <charset val="134"/>
      <scheme val="minor"/>
    </font>
    <font>
      <sz val="11"/>
      <color theme="1"/>
      <name val="等线"/>
      <charset val="1"/>
    </font>
    <font>
      <b/>
      <sz val="11"/>
      <color theme="0"/>
      <name val="等线"/>
      <charset val="134"/>
      <scheme val="minor"/>
    </font>
    <font>
      <b/>
      <sz val="11"/>
      <color rgb="FFFFFFFF"/>
      <name val="等线"/>
      <charset val="134"/>
    </font>
    <font>
      <sz val="11"/>
      <color rgb="FF000000"/>
      <name val="等线"/>
      <charset val="134"/>
    </font>
    <font>
      <sz val="14"/>
      <color theme="1"/>
      <name val="等线"/>
      <charset val="134"/>
      <scheme val="minor"/>
    </font>
    <font>
      <b/>
      <sz val="14"/>
      <color theme="0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b/>
      <sz val="14"/>
      <color theme="1"/>
      <name val="等线"/>
      <charset val="134"/>
      <scheme val="minor"/>
    </font>
    <font>
      <sz val="11"/>
      <color rgb="FFFF0000"/>
      <name val="等线"/>
      <charset val="134"/>
      <scheme val="minor"/>
    </font>
    <font>
      <sz val="1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rgb="FFD9F1CF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5" borderId="1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8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16" borderId="20" applyNumberFormat="0" applyAlignment="0" applyProtection="0">
      <alignment vertical="center"/>
    </xf>
    <xf numFmtId="0" fontId="22" fillId="17" borderId="21" applyNumberFormat="0" applyAlignment="0" applyProtection="0">
      <alignment vertical="center"/>
    </xf>
    <xf numFmtId="0" fontId="23" fillId="17" borderId="20" applyNumberFormat="0" applyAlignment="0" applyProtection="0">
      <alignment vertical="center"/>
    </xf>
    <xf numFmtId="0" fontId="24" fillId="18" borderId="22" applyNumberFormat="0" applyAlignment="0" applyProtection="0">
      <alignment vertical="center"/>
    </xf>
    <xf numFmtId="0" fontId="25" fillId="0" borderId="23" applyNumberFormat="0" applyFill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5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</cellStyleXfs>
  <cellXfs count="165">
    <xf numFmtId="0" fontId="0" fillId="0" borderId="0" xfId="0">
      <alignment vertical="center"/>
    </xf>
    <xf numFmtId="10" fontId="0" fillId="0" borderId="0" xfId="0" applyNumberFormat="1">
      <alignment vertical="center"/>
    </xf>
    <xf numFmtId="9" fontId="0" fillId="0" borderId="0" xfId="0" applyNumberFormat="1">
      <alignment vertical="center"/>
    </xf>
    <xf numFmtId="9" fontId="1" fillId="0" borderId="0" xfId="0" applyNumberFormat="1" applyFon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2" fillId="2" borderId="1" xfId="0" applyFont="1" applyFill="1" applyBorder="1">
      <alignment vertical="center"/>
    </xf>
    <xf numFmtId="0" fontId="2" fillId="2" borderId="2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4" fillId="0" borderId="0" xfId="0" applyFont="1">
      <alignment vertical="center"/>
    </xf>
    <xf numFmtId="0" fontId="0" fillId="0" borderId="0" xfId="0" applyAlignment="1">
      <alignment vertical="center" wrapText="1"/>
    </xf>
    <xf numFmtId="0" fontId="3" fillId="2" borderId="2" xfId="0" applyFont="1" applyFill="1" applyBorder="1">
      <alignment vertical="center"/>
    </xf>
    <xf numFmtId="9" fontId="4" fillId="0" borderId="0" xfId="0" applyNumberFormat="1" applyFont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4" fillId="2" borderId="4" xfId="0" applyFont="1" applyFill="1" applyBorder="1">
      <alignment vertical="center"/>
    </xf>
    <xf numFmtId="0" fontId="0" fillId="0" borderId="5" xfId="0" applyBorder="1">
      <alignment vertical="center"/>
    </xf>
    <xf numFmtId="0" fontId="4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4" fillId="0" borderId="5" xfId="0" applyFont="1" applyBorder="1">
      <alignment vertical="center"/>
    </xf>
    <xf numFmtId="0" fontId="0" fillId="0" borderId="1" xfId="0" applyBorder="1">
      <alignment vertical="center"/>
    </xf>
    <xf numFmtId="0" fontId="4" fillId="0" borderId="1" xfId="0" applyFont="1" applyBorder="1">
      <alignment vertical="center"/>
    </xf>
    <xf numFmtId="0" fontId="0" fillId="0" borderId="5" xfId="0" applyFill="1" applyBorder="1">
      <alignment vertical="center"/>
    </xf>
    <xf numFmtId="9" fontId="0" fillId="0" borderId="1" xfId="0" applyNumberFormat="1" applyBorder="1">
      <alignment vertical="center"/>
    </xf>
    <xf numFmtId="0" fontId="0" fillId="0" borderId="4" xfId="0" applyBorder="1">
      <alignment vertical="center"/>
    </xf>
    <xf numFmtId="0" fontId="0" fillId="2" borderId="6" xfId="0" applyFill="1" applyBorder="1">
      <alignment vertical="center"/>
    </xf>
    <xf numFmtId="0" fontId="0" fillId="0" borderId="7" xfId="0" applyBorder="1">
      <alignment vertical="center"/>
    </xf>
    <xf numFmtId="9" fontId="0" fillId="0" borderId="7" xfId="0" applyNumberFormat="1" applyBorder="1">
      <alignment vertical="center"/>
    </xf>
    <xf numFmtId="176" fontId="0" fillId="0" borderId="7" xfId="0" applyNumberFormat="1" applyBorder="1">
      <alignment vertical="center"/>
    </xf>
    <xf numFmtId="0" fontId="0" fillId="0" borderId="7" xfId="0" applyNumberFormat="1" applyBorder="1">
      <alignment vertical="center"/>
    </xf>
    <xf numFmtId="0" fontId="4" fillId="0" borderId="5" xfId="0" applyFont="1" applyFill="1" applyBorder="1">
      <alignment vertical="center"/>
    </xf>
    <xf numFmtId="0" fontId="0" fillId="0" borderId="8" xfId="0" applyBorder="1">
      <alignment vertical="center"/>
    </xf>
    <xf numFmtId="0" fontId="0" fillId="0" borderId="9" xfId="0" applyFill="1" applyBorder="1">
      <alignment vertical="center"/>
    </xf>
    <xf numFmtId="0" fontId="0" fillId="0" borderId="9" xfId="0" applyBorder="1">
      <alignment vertical="center"/>
    </xf>
    <xf numFmtId="10" fontId="0" fillId="0" borderId="1" xfId="0" applyNumberFormat="1" applyBorder="1">
      <alignment vertical="center"/>
    </xf>
    <xf numFmtId="9" fontId="0" fillId="0" borderId="9" xfId="0" applyNumberFormat="1" applyBorder="1">
      <alignment vertical="center"/>
    </xf>
    <xf numFmtId="176" fontId="0" fillId="0" borderId="1" xfId="0" applyNumberFormat="1" applyBorder="1">
      <alignment vertical="center"/>
    </xf>
    <xf numFmtId="0" fontId="0" fillId="0" borderId="10" xfId="0" applyBorder="1">
      <alignment vertical="center"/>
    </xf>
    <xf numFmtId="176" fontId="0" fillId="0" borderId="10" xfId="0" applyNumberFormat="1" applyBorder="1">
      <alignment vertical="center"/>
    </xf>
    <xf numFmtId="0" fontId="4" fillId="0" borderId="7" xfId="0" applyFont="1" applyBorder="1">
      <alignment vertical="center"/>
    </xf>
    <xf numFmtId="0" fontId="0" fillId="0" borderId="10" xfId="0" applyNumberFormat="1" applyBorder="1">
      <alignment vertical="center"/>
    </xf>
    <xf numFmtId="0" fontId="4" fillId="0" borderId="8" xfId="0" applyFont="1" applyBorder="1">
      <alignment vertical="center"/>
    </xf>
    <xf numFmtId="0" fontId="0" fillId="0" borderId="1" xfId="0" applyNumberFormat="1" applyBorder="1">
      <alignment vertical="center"/>
    </xf>
    <xf numFmtId="0" fontId="0" fillId="0" borderId="5" xfId="0" applyFont="1" applyFill="1" applyBorder="1" applyAlignment="1">
      <alignment vertical="center"/>
    </xf>
    <xf numFmtId="0" fontId="4" fillId="0" borderId="9" xfId="0" applyFont="1" applyFill="1" applyBorder="1">
      <alignment vertical="center"/>
    </xf>
    <xf numFmtId="0" fontId="0" fillId="0" borderId="8" xfId="0" applyFont="1" applyFill="1" applyBorder="1" applyAlignment="1">
      <alignment vertical="center"/>
    </xf>
    <xf numFmtId="9" fontId="4" fillId="0" borderId="1" xfId="0" applyNumberFormat="1" applyFont="1" applyBorder="1">
      <alignment vertical="center"/>
    </xf>
    <xf numFmtId="9" fontId="0" fillId="0" borderId="0" xfId="0" applyNumberFormat="1" applyBorder="1">
      <alignment vertical="center"/>
    </xf>
    <xf numFmtId="0" fontId="0" fillId="0" borderId="11" xfId="0" applyNumberFormat="1" applyBorder="1">
      <alignment vertical="center"/>
    </xf>
    <xf numFmtId="9" fontId="0" fillId="0" borderId="10" xfId="0" applyNumberFormat="1" applyBorder="1">
      <alignment vertical="center"/>
    </xf>
    <xf numFmtId="49" fontId="0" fillId="0" borderId="0" xfId="0" applyNumberFormat="1">
      <alignment vertical="center"/>
    </xf>
    <xf numFmtId="49" fontId="4" fillId="0" borderId="0" xfId="0" applyNumberFormat="1" applyFont="1">
      <alignment vertical="center"/>
    </xf>
    <xf numFmtId="0" fontId="4" fillId="0" borderId="12" xfId="0" applyFont="1" applyBorder="1">
      <alignment vertical="center"/>
    </xf>
    <xf numFmtId="0" fontId="0" fillId="0" borderId="12" xfId="0" applyBorder="1">
      <alignment vertical="center"/>
    </xf>
    <xf numFmtId="0" fontId="4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3" borderId="0" xfId="0" applyFont="1" applyFill="1" applyBorder="1">
      <alignment vertical="center"/>
    </xf>
    <xf numFmtId="0" fontId="0" fillId="0" borderId="0" xfId="0" applyBorder="1">
      <alignment vertical="center"/>
    </xf>
    <xf numFmtId="0" fontId="0" fillId="0" borderId="12" xfId="0" applyFont="1" applyBorder="1">
      <alignment vertical="center"/>
    </xf>
    <xf numFmtId="0" fontId="0" fillId="0" borderId="0" xfId="0" applyAlignment="1">
      <alignment vertical="center"/>
    </xf>
    <xf numFmtId="0" fontId="2" fillId="2" borderId="11" xfId="0" applyFont="1" applyFill="1" applyBorder="1">
      <alignment vertical="center"/>
    </xf>
    <xf numFmtId="0" fontId="2" fillId="2" borderId="0" xfId="0" applyFont="1" applyFill="1" applyBorder="1">
      <alignment vertical="center"/>
    </xf>
    <xf numFmtId="0" fontId="2" fillId="2" borderId="13" xfId="0" applyFont="1" applyFill="1" applyBorder="1">
      <alignment vertical="center"/>
    </xf>
    <xf numFmtId="0" fontId="0" fillId="0" borderId="9" xfId="0" applyNumberFormat="1" applyBorder="1">
      <alignment vertical="center"/>
    </xf>
    <xf numFmtId="176" fontId="0" fillId="0" borderId="9" xfId="0" applyNumberFormat="1" applyBorder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>
      <alignment vertical="center"/>
    </xf>
    <xf numFmtId="0" fontId="6" fillId="4" borderId="1" xfId="0" applyFont="1" applyFill="1" applyBorder="1" applyAlignment="1">
      <alignment horizontal="center"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8" borderId="1" xfId="0" applyNumberFormat="1" applyFill="1" applyBorder="1" applyAlignment="1">
      <alignment horizontal="right" vertical="center"/>
    </xf>
    <xf numFmtId="9" fontId="0" fillId="8" borderId="4" xfId="0" applyNumberFormat="1" applyFill="1" applyBorder="1">
      <alignment vertical="center"/>
    </xf>
    <xf numFmtId="0" fontId="7" fillId="9" borderId="4" xfId="0" applyFont="1" applyFill="1" applyBorder="1" applyAlignment="1">
      <alignment horizontal="left" vertical="center"/>
    </xf>
    <xf numFmtId="177" fontId="0" fillId="8" borderId="1" xfId="0" applyNumberFormat="1" applyFill="1" applyBorder="1">
      <alignment vertical="center"/>
    </xf>
    <xf numFmtId="10" fontId="0" fillId="10" borderId="1" xfId="0" applyNumberFormat="1" applyFill="1" applyBorder="1">
      <alignment vertical="center"/>
    </xf>
    <xf numFmtId="178" fontId="0" fillId="8" borderId="1" xfId="0" applyNumberFormat="1" applyFill="1" applyBorder="1">
      <alignment vertical="center"/>
    </xf>
    <xf numFmtId="9" fontId="0" fillId="8" borderId="1" xfId="0" applyNumberFormat="1" applyFill="1" applyBorder="1">
      <alignment vertical="center"/>
    </xf>
    <xf numFmtId="179" fontId="0" fillId="10" borderId="1" xfId="0" applyNumberFormat="1" applyFill="1" applyBorder="1">
      <alignment vertical="center"/>
    </xf>
    <xf numFmtId="0" fontId="0" fillId="9" borderId="1" xfId="0" applyFill="1" applyBorder="1" applyAlignment="1">
      <alignment vertical="center"/>
    </xf>
    <xf numFmtId="0" fontId="0" fillId="5" borderId="1" xfId="0" applyFill="1" applyBorder="1" applyAlignment="1">
      <alignment horizontal="center" vertical="center"/>
    </xf>
    <xf numFmtId="0" fontId="7" fillId="9" borderId="4" xfId="0" applyFont="1" applyFill="1" applyBorder="1">
      <alignment vertical="center"/>
    </xf>
    <xf numFmtId="0" fontId="0" fillId="5" borderId="2" xfId="0" applyFill="1" applyBorder="1">
      <alignment vertical="center"/>
    </xf>
    <xf numFmtId="9" fontId="0" fillId="6" borderId="7" xfId="0" applyNumberFormat="1" applyFill="1" applyBorder="1" applyAlignment="1">
      <alignment vertical="center"/>
    </xf>
    <xf numFmtId="0" fontId="0" fillId="6" borderId="1" xfId="0" applyNumberFormat="1" applyFill="1" applyBorder="1" applyAlignment="1">
      <alignment horizontal="center" vertical="center"/>
    </xf>
    <xf numFmtId="180" fontId="0" fillId="6" borderId="1" xfId="0" applyNumberFormat="1" applyFill="1" applyBorder="1" applyAlignment="1">
      <alignment vertical="center"/>
    </xf>
    <xf numFmtId="9" fontId="7" fillId="8" borderId="1" xfId="0" applyNumberFormat="1" applyFont="1" applyFill="1" applyBorder="1">
      <alignment vertical="center"/>
    </xf>
    <xf numFmtId="0" fontId="0" fillId="8" borderId="9" xfId="0" applyNumberFormat="1" applyFill="1" applyBorder="1">
      <alignment vertical="center"/>
    </xf>
    <xf numFmtId="0" fontId="0" fillId="8" borderId="1" xfId="0" applyNumberFormat="1" applyFill="1" applyBorder="1">
      <alignment vertical="center"/>
    </xf>
    <xf numFmtId="0" fontId="0" fillId="6" borderId="1" xfId="0" applyNumberFormat="1" applyFill="1" applyBorder="1">
      <alignment vertical="center"/>
    </xf>
    <xf numFmtId="9" fontId="0" fillId="6" borderId="1" xfId="0" applyNumberFormat="1" applyFill="1" applyBorder="1">
      <alignment vertical="center"/>
    </xf>
    <xf numFmtId="0" fontId="4" fillId="0" borderId="4" xfId="0" applyFont="1" applyBorder="1">
      <alignment vertical="center"/>
    </xf>
    <xf numFmtId="0" fontId="0" fillId="8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5" borderId="9" xfId="0" applyFill="1" applyBorder="1">
      <alignment vertical="center"/>
    </xf>
    <xf numFmtId="0" fontId="0" fillId="12" borderId="10" xfId="0" applyFont="1" applyFill="1" applyBorder="1" applyAlignment="1">
      <alignment horizontal="center" vertical="center"/>
    </xf>
    <xf numFmtId="0" fontId="0" fillId="12" borderId="14" xfId="0" applyFont="1" applyFill="1" applyBorder="1" applyAlignment="1">
      <alignment horizontal="center" vertical="center"/>
    </xf>
    <xf numFmtId="0" fontId="8" fillId="13" borderId="7" xfId="0" applyFont="1" applyFill="1" applyBorder="1" applyAlignment="1">
      <alignment horizontal="center" vertical="center"/>
    </xf>
    <xf numFmtId="0" fontId="8" fillId="13" borderId="15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5" borderId="5" xfId="0" applyFill="1" applyBorder="1">
      <alignment vertical="center"/>
    </xf>
    <xf numFmtId="176" fontId="0" fillId="8" borderId="1" xfId="0" applyNumberFormat="1" applyFill="1" applyBorder="1">
      <alignment vertical="center"/>
    </xf>
    <xf numFmtId="0" fontId="0" fillId="0" borderId="2" xfId="0" applyFill="1" applyBorder="1">
      <alignment vertical="center"/>
    </xf>
    <xf numFmtId="0" fontId="0" fillId="0" borderId="1" xfId="0" applyBorder="1" applyAlignment="1">
      <alignment horizontal="center" vertical="center"/>
    </xf>
    <xf numFmtId="181" fontId="0" fillId="6" borderId="1" xfId="0" applyNumberFormat="1" applyFill="1" applyBorder="1">
      <alignment vertical="center"/>
    </xf>
    <xf numFmtId="0" fontId="0" fillId="12" borderId="8" xfId="0" applyFont="1" applyFill="1" applyBorder="1" applyAlignment="1">
      <alignment horizontal="center" vertical="center"/>
    </xf>
    <xf numFmtId="0" fontId="0" fillId="12" borderId="9" xfId="0" applyFill="1" applyBorder="1">
      <alignment vertical="center"/>
    </xf>
    <xf numFmtId="0" fontId="0" fillId="6" borderId="9" xfId="0" applyFill="1" applyBorder="1">
      <alignment vertical="center"/>
    </xf>
    <xf numFmtId="0" fontId="8" fillId="13" borderId="5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5" fillId="5" borderId="7" xfId="0" applyFont="1" applyFill="1" applyBorder="1" applyAlignment="1">
      <alignment horizontal="center" vertical="center"/>
    </xf>
    <xf numFmtId="0" fontId="5" fillId="5" borderId="15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6" borderId="1" xfId="0" applyNumberFormat="1" applyFont="1" applyFill="1" applyBorder="1" applyAlignment="1">
      <alignment horizontal="center" vertical="center"/>
    </xf>
    <xf numFmtId="178" fontId="9" fillId="0" borderId="1" xfId="0" applyNumberFormat="1" applyFont="1" applyBorder="1" applyAlignment="1">
      <alignment horizontal="center" vertical="center"/>
    </xf>
    <xf numFmtId="0" fontId="7" fillId="9" borderId="9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8" fillId="5" borderId="1" xfId="0" applyFont="1" applyFill="1" applyBorder="1">
      <alignment vertical="center"/>
    </xf>
    <xf numFmtId="0" fontId="0" fillId="6" borderId="1" xfId="0" applyNumberFormat="1" applyFill="1" applyBorder="1" applyAlignment="1">
      <alignment vertical="center"/>
    </xf>
    <xf numFmtId="0" fontId="0" fillId="5" borderId="7" xfId="0" applyFill="1" applyBorder="1" applyAlignment="1">
      <alignment horizontal="center" vertical="center"/>
    </xf>
    <xf numFmtId="0" fontId="5" fillId="5" borderId="1" xfId="0" applyFont="1" applyFill="1" applyBorder="1">
      <alignment vertical="center"/>
    </xf>
    <xf numFmtId="0" fontId="5" fillId="6" borderId="1" xfId="0" applyFont="1" applyFill="1" applyBorder="1">
      <alignment vertical="center"/>
    </xf>
    <xf numFmtId="0" fontId="0" fillId="7" borderId="7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176" fontId="5" fillId="10" borderId="1" xfId="0" applyNumberFormat="1" applyFont="1" applyFill="1" applyBorder="1">
      <alignment vertical="center"/>
    </xf>
    <xf numFmtId="0" fontId="5" fillId="7" borderId="1" xfId="0" applyFont="1" applyFill="1" applyBorder="1" applyAlignment="1">
      <alignment vertical="center"/>
    </xf>
    <xf numFmtId="9" fontId="5" fillId="8" borderId="1" xfId="0" applyNumberFormat="1" applyFont="1" applyFill="1" applyBorder="1">
      <alignment vertical="center"/>
    </xf>
    <xf numFmtId="0" fontId="0" fillId="0" borderId="7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5" xfId="0" applyBorder="1" applyAlignment="1">
      <alignment vertical="center"/>
    </xf>
    <xf numFmtId="182" fontId="0" fillId="8" borderId="1" xfId="0" applyNumberFormat="1" applyFont="1" applyFill="1" applyBorder="1">
      <alignment vertical="center"/>
    </xf>
    <xf numFmtId="0" fontId="0" fillId="8" borderId="7" xfId="0" applyFill="1" applyBorder="1" applyAlignment="1">
      <alignment vertical="center"/>
    </xf>
    <xf numFmtId="0" fontId="0" fillId="8" borderId="5" xfId="0" applyFill="1" applyBorder="1" applyAlignment="1">
      <alignment vertical="center"/>
    </xf>
    <xf numFmtId="0" fontId="10" fillId="5" borderId="1" xfId="0" applyFont="1" applyFill="1" applyBorder="1" applyAlignment="1">
      <alignment horizontal="center" vertical="center"/>
    </xf>
    <xf numFmtId="0" fontId="11" fillId="5" borderId="9" xfId="0" applyFont="1" applyFill="1" applyBorder="1" applyAlignment="1">
      <alignment horizontal="center" vertical="center"/>
    </xf>
    <xf numFmtId="0" fontId="11" fillId="5" borderId="2" xfId="0" applyFont="1" applyFill="1" applyBorder="1" applyAlignment="1">
      <alignment horizontal="center" vertical="center"/>
    </xf>
    <xf numFmtId="0" fontId="11" fillId="5" borderId="4" xfId="0" applyFont="1" applyFill="1" applyBorder="1" applyAlignment="1">
      <alignment horizontal="center" vertical="center"/>
    </xf>
    <xf numFmtId="0" fontId="7" fillId="9" borderId="1" xfId="0" applyFont="1" applyFill="1" applyBorder="1">
      <alignment vertical="center"/>
    </xf>
    <xf numFmtId="0" fontId="0" fillId="8" borderId="7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12" borderId="7" xfId="0" applyFont="1" applyFill="1" applyBorder="1" applyAlignment="1">
      <alignment horizontal="center" vertical="center"/>
    </xf>
    <xf numFmtId="0" fontId="0" fillId="12" borderId="15" xfId="0" applyFont="1" applyFill="1" applyBorder="1" applyAlignment="1">
      <alignment horizontal="center" vertical="center"/>
    </xf>
    <xf numFmtId="0" fontId="0" fillId="0" borderId="9" xfId="0" applyNumberFormat="1" applyBorder="1" applyAlignment="1">
      <alignment horizontal="center" vertical="center"/>
    </xf>
    <xf numFmtId="0" fontId="0" fillId="0" borderId="2" xfId="0" applyNumberFormat="1" applyBorder="1" applyAlignment="1">
      <alignment horizontal="center" vertical="center"/>
    </xf>
    <xf numFmtId="0" fontId="0" fillId="0" borderId="4" xfId="0" applyNumberFormat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178" fontId="12" fillId="0" borderId="1" xfId="0" applyNumberFormat="1" applyFont="1" applyBorder="1" applyAlignment="1">
      <alignment horizontal="right" vertical="center"/>
    </xf>
    <xf numFmtId="0" fontId="0" fillId="0" borderId="1" xfId="0" applyNumberFormat="1" applyBorder="1" applyAlignment="1">
      <alignment horizontal="center" vertical="center"/>
    </xf>
    <xf numFmtId="0" fontId="7" fillId="14" borderId="1" xfId="0" applyNumberFormat="1" applyFont="1" applyFill="1" applyBorder="1" applyAlignment="1">
      <alignment horizontal="center" vertical="center"/>
    </xf>
    <xf numFmtId="0" fontId="0" fillId="12" borderId="5" xfId="0" applyFont="1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181" fontId="0" fillId="0" borderId="0" xfId="0" applyNumberFormat="1">
      <alignment vertical="center"/>
    </xf>
    <xf numFmtId="176" fontId="7" fillId="8" borderId="1" xfId="0" applyNumberFormat="1" applyFont="1" applyFill="1" applyBorder="1">
      <alignment vertical="center"/>
    </xf>
    <xf numFmtId="0" fontId="5" fillId="10" borderId="1" xfId="0" applyFont="1" applyFill="1" applyBorder="1">
      <alignment vertical="center"/>
    </xf>
    <xf numFmtId="183" fontId="0" fillId="6" borderId="1" xfId="0" applyNumberFormat="1" applyFill="1" applyBorder="1" applyAlignment="1">
      <alignment horizontal="center" vertical="center"/>
    </xf>
    <xf numFmtId="176" fontId="0" fillId="8" borderId="1" xfId="0" applyNumberFormat="1" applyFont="1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6">
    <dxf>
      <font>
        <color rgb="FFFF0000"/>
      </font>
    </dxf>
    <dxf>
      <numFmt numFmtId="178" formatCode="0_ "/>
    </dxf>
    <dxf>
      <font>
        <color rgb="FFC00000"/>
      </font>
    </dxf>
    <dxf>
      <font>
        <color theme="9" tint="-0.249946592608417"/>
      </font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0" formatCode="General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0" formatCode="General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0" formatCode="General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49" formatCode="@"/>
    </dxf>
    <dxf>
      <numFmt numFmtId="0" formatCode="General"/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numFmt numFmtId="9" formatCode="0%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76" formatCode="0.0%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76" formatCode="0.0%"/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176" formatCode="0.0%"/>
      <border>
        <left style="thin">
          <color auto="1"/>
        </left>
        <right/>
        <top style="thin">
          <color auto="1"/>
        </top>
        <bottom/>
      </border>
    </dxf>
    <dxf>
      <numFmt numFmtId="0" formatCode="General"/>
      <border>
        <left style="thin">
          <color auto="1"/>
        </left>
        <right/>
        <top/>
        <bottom/>
      </border>
    </dxf>
    <dxf>
      <border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0" formatCode="General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0" formatCode="General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9" formatCode="0%"/>
    </dxf>
    <dxf>
      <numFmt numFmtId="176" formatCode="0.0%"/>
    </dxf>
  </dxfs>
  <tableStyles count="0" defaultTableStyle="TableStyleMedium2" defaultPivotStyle="PivotStyleLight16"/>
  <colors>
    <mruColors>
      <color rgb="00FFFF99"/>
      <color rgb="00CCFF33"/>
      <color rgb="00FFFF66"/>
      <color rgb="00FFCC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woinfos.xml><?xml version="1.0" encoding="utf-8"?>
<woInfos xmlns="https://web.wps.cn/et/2018/main" xmlns:s="http://schemas.openxmlformats.org/spreadsheetml/2006/main">
  <bookInfo cellCmpFml="3039">
    <open main="425" threadCnt="1"/>
    <sheetInfos>
      <sheetInfo cellCmpFml="1940" sheetStid="1">
        <open main="165" threadCnt="1"/>
      </sheetInfo>
      <sheetInfo cellCmpFml="0" sheetStid="16">
        <open threadCnt="1"/>
      </sheetInfo>
      <sheetInfo cellCmpFml="6" sheetStid="21">
        <open main="3" threadCnt="1"/>
      </sheetInfo>
      <sheetInfo cellCmpFml="0" sheetStid="2">
        <open threadCnt="1"/>
      </sheetInfo>
      <sheetInfo cellCmpFml="2" sheetStid="11">
        <open main="1" threadCnt="1"/>
      </sheetInfo>
      <sheetInfo cellCmpFml="15" sheetStid="6">
        <open main="2" threadCnt="1"/>
      </sheetInfo>
      <sheetInfo cellCmpFml="0" sheetStid="17">
        <open main="1" threadCnt="1"/>
      </sheetInfo>
      <sheetInfo cellCmpFml="1059" sheetStid="18">
        <open main="107" threadCnt="1"/>
      </sheetInfo>
      <sheetInfo cellCmpFml="17" sheetStid="3">
        <open main="5" threadCnt="1"/>
      </sheetInfo>
      <sheetInfo cellCmpFml="0" sheetStid="8">
        <open main="2" threadCnt="1"/>
      </sheetInfo>
      <sheetInfo cellCmpFml="0" sheetStid="4">
        <open main="1" threadCnt="1"/>
      </sheetInfo>
      <sheetInfo cellCmpFml="0" sheetStid="5">
        <open threadCnt="1"/>
      </sheetInfo>
      <sheetInfo cellCmpFml="0" sheetStid="14">
        <open threadCnt="1"/>
      </sheetInfo>
      <sheetInfo cellCmpFml="0" sheetStid="15">
        <open threadCnt="1"/>
      </sheetInfo>
      <sheetInfo cellCmpFml="0" sheetStid="19">
        <open threadCnt="1"/>
      </sheetInfo>
    </sheetInfos>
  </bookInfo>
</woInfos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7" Type="http://www.wps.cn/officeDocument/2023/relationships/woinfos" Target="woinfos.xml"/><Relationship Id="rId26" Type="http://www.wps.cn/officeDocument/2023/relationships/customStorage" Target="customStorage/customStorage.xml"/><Relationship Id="rId25" Type="http://schemas.openxmlformats.org/officeDocument/2006/relationships/styles" Target="styles.xml"/><Relationship Id="rId24" Type="http://schemas.openxmlformats.org/officeDocument/2006/relationships/customXml" Target="../customXml/item3.xml"/><Relationship Id="rId23" Type="http://schemas.openxmlformats.org/officeDocument/2006/relationships/customXml" Target="../customXml/item2.xml"/><Relationship Id="rId22" Type="http://schemas.openxmlformats.org/officeDocument/2006/relationships/customXml" Target="../customXml/item1.xml"/><Relationship Id="rId21" Type="http://schemas.microsoft.com/office/2017/06/relationships/rdRichValue" Target="richData/rdrichvalue.xml"/><Relationship Id="rId20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9" Type="http://schemas.openxmlformats.org/officeDocument/2006/relationships/sheetMetadata" Target="metadata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血量等级关系</a:t>
            </a:r>
            <a:endParaRPr lang="zh-C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血量曲线!$B$3</c:f>
              <c:strCache>
                <c:ptCount val="1"/>
                <c:pt idx="0">
                  <c:v>血量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血量曲线!$A$5:$A$25</c:f>
              <c:numCache>
                <c:formatCode>General</c:formatCode>
                <c:ptCount val="21"/>
                <c:pt idx="0">
                  <c:v>20</c:v>
                </c:pt>
                <c:pt idx="1">
                  <c:v>30</c:v>
                </c:pt>
                <c:pt idx="2">
                  <c:v>40</c:v>
                </c:pt>
                <c:pt idx="3">
                  <c:v>50</c:v>
                </c:pt>
                <c:pt idx="4">
                  <c:v>60</c:v>
                </c:pt>
                <c:pt idx="5">
                  <c:v>70</c:v>
                </c:pt>
                <c:pt idx="6">
                  <c:v>72</c:v>
                </c:pt>
                <c:pt idx="7">
                  <c:v>74</c:v>
                </c:pt>
                <c:pt idx="8">
                  <c:v>76</c:v>
                </c:pt>
                <c:pt idx="9">
                  <c:v>78</c:v>
                </c:pt>
                <c:pt idx="10">
                  <c:v>80</c:v>
                </c:pt>
                <c:pt idx="11">
                  <c:v>90</c:v>
                </c:pt>
                <c:pt idx="12">
                  <c:v>100</c:v>
                </c:pt>
                <c:pt idx="13">
                  <c:v>110</c:v>
                </c:pt>
                <c:pt idx="14">
                  <c:v>120</c:v>
                </c:pt>
                <c:pt idx="15">
                  <c:v>130</c:v>
                </c:pt>
                <c:pt idx="16">
                  <c:v>140</c:v>
                </c:pt>
                <c:pt idx="17">
                  <c:v>150</c:v>
                </c:pt>
                <c:pt idx="18">
                  <c:v>160</c:v>
                </c:pt>
                <c:pt idx="19">
                  <c:v>170</c:v>
                </c:pt>
                <c:pt idx="20">
                  <c:v>180</c:v>
                </c:pt>
              </c:numCache>
            </c:numRef>
          </c:xVal>
          <c:yVal>
            <c:numRef>
              <c:f>血量曲线!$B$5:$B$25</c:f>
              <c:numCache>
                <c:formatCode>General</c:formatCode>
                <c:ptCount val="21"/>
                <c:pt idx="0">
                  <c:v>114</c:v>
                </c:pt>
                <c:pt idx="1">
                  <c:v>284</c:v>
                </c:pt>
                <c:pt idx="2">
                  <c:v>553</c:v>
                </c:pt>
                <c:pt idx="3">
                  <c:v>3126</c:v>
                </c:pt>
                <c:pt idx="4">
                  <c:v>19744.2068965517</c:v>
                </c:pt>
                <c:pt idx="5">
                  <c:v>80493.974025974</c:v>
                </c:pt>
                <c:pt idx="6">
                  <c:v>114524</c:v>
                </c:pt>
                <c:pt idx="7">
                  <c:v>146203.155339806</c:v>
                </c:pt>
                <c:pt idx="8">
                  <c:v>195358.955752212</c:v>
                </c:pt>
                <c:pt idx="9">
                  <c:v>228718.548387097</c:v>
                </c:pt>
                <c:pt idx="10">
                  <c:v>463769.270588235</c:v>
                </c:pt>
                <c:pt idx="11">
                  <c:v>754429.710144927</c:v>
                </c:pt>
                <c:pt idx="12">
                  <c:v>1044577.45454545</c:v>
                </c:pt>
                <c:pt idx="13">
                  <c:v>3157563.65853659</c:v>
                </c:pt>
                <c:pt idx="14">
                  <c:v>5249878.97142857</c:v>
                </c:pt>
                <c:pt idx="15">
                  <c:v>7491170.82352941</c:v>
                </c:pt>
                <c:pt idx="16">
                  <c:v>9764436.95535714</c:v>
                </c:pt>
                <c:pt idx="17">
                  <c:v>12095491.047619</c:v>
                </c:pt>
                <c:pt idx="18">
                  <c:v>18093072.3404255</c:v>
                </c:pt>
                <c:pt idx="19">
                  <c:v>24100085.275</c:v>
                </c:pt>
                <c:pt idx="20">
                  <c:v>30159354.0186916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112271"/>
        <c:axId val="50100271"/>
      </c:scatterChart>
      <c:valAx>
        <c:axId val="50112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00271"/>
        <c:crosses val="autoZero"/>
        <c:crossBetween val="midCat"/>
      </c:valAx>
      <c:valAx>
        <c:axId val="50100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0112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a0c30c0-8975-405f-9571-2dbe92f7fe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ustomStorage/customStorage.xml><?xml version="1.0" encoding="utf-8"?>
<customStorage xmlns="https://web.wps.cn/et/2018/main">
  <book/>
  <sheets/>
</customStorag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256540</xdr:colOff>
      <xdr:row>3</xdr:row>
      <xdr:rowOff>95250</xdr:rowOff>
    </xdr:from>
    <xdr:to>
      <xdr:col>16</xdr:col>
      <xdr:colOff>609600</xdr:colOff>
      <xdr:row>27</xdr:row>
      <xdr:rowOff>0</xdr:rowOff>
    </xdr:to>
    <xdr:graphicFrame>
      <xdr:nvGraphicFramePr>
        <xdr:cNvPr id="2" name="图表 1"/>
        <xdr:cNvGraphicFramePr/>
      </xdr:nvGraphicFramePr>
      <xdr:xfrm>
        <a:off x="6190615" y="638175"/>
        <a:ext cx="7906385" cy="42481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richData/rdrichvalue.xml><?xml version="1.0" encoding="utf-8"?>
<rvData xmlns="http://schemas.microsoft.com/office/spreadsheetml/2017/richdata" count="2">
  <rv s="0">
    <v>13</v>
    <v>3</v>
  </rv>
  <rv s="1">
    <v>13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ables/table1.xml><?xml version="1.0" encoding="utf-8"?>
<table xmlns="http://schemas.openxmlformats.org/spreadsheetml/2006/main" id="11" name="怪物表" displayName="怪物表" ref="A1:F39" totalsRowShown="0">
  <autoFilter xmlns:etc="http://www.wps.cn/officeDocument/2017/etCustomData" ref="A1:F39" etc:filterBottomFollowUsedRange="0"/>
  <tableColumns count="6">
    <tableColumn id="1" name="名称"/>
    <tableColumn id="6" name="阵营"/>
    <tableColumn id="5" name="类型"/>
    <tableColumn id="2" name="生命"/>
    <tableColumn id="3" name="护盾"/>
    <tableColumn id="4" name="战姿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角色表" displayName="角色表" ref="A1:U22" totalsRowShown="0">
  <autoFilter xmlns:etc="http://www.wps.cn/officeDocument/2017/etCustomData" ref="A1:U22" etc:filterBottomFollowUsedRange="0"/>
  <tableColumns count="21">
    <tableColumn id="1" name="名称" dataDxfId="4"/>
    <tableColumn id="2" name="属性" dataDxfId="5"/>
    <tableColumn id="29" name="近战" dataDxfId="6"/>
    <tableColumn id="12" name="远程" dataDxfId="7"/>
    <tableColumn id="18" name="同律武器"/>
    <tableColumn id="3" name="基础攻击" dataDxfId="8"/>
    <tableColumn id="4" name="基础生命" dataDxfId="9"/>
    <tableColumn id="5" name="基础护盾" dataDxfId="10"/>
    <tableColumn id="6" name="基础防御" dataDxfId="11"/>
    <tableColumn id="7" name="基础神智" dataDxfId="12"/>
    <tableColumn id="8" name="威力" dataDxfId="13"/>
    <tableColumn id="9" name="耐久" dataDxfId="14"/>
    <tableColumn id="10" name="效益" dataDxfId="15"/>
    <tableColumn id="11" name="范围" dataDxfId="16"/>
    <tableColumn id="13" name="攻击" dataDxfId="17"/>
    <tableColumn id="15" name="生命" dataDxfId="18"/>
    <tableColumn id="27" name="护盾" dataDxfId="19"/>
    <tableColumn id="14" name="防御" dataDxfId="20"/>
    <tableColumn id="28" name="神智" dataDxfId="21"/>
    <tableColumn id="16" name="昂扬" dataDxfId="22"/>
    <tableColumn id="17" name="背水" dataDxfId="2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7" name="技能表" displayName="技能表" ref="A1:N101" totalsRowShown="0">
  <autoFilter xmlns:etc="http://www.wps.cn/officeDocument/2017/etCustomData" ref="A1:N101" etc:filterBottomFollowUsedRange="0"/>
  <tableColumns count="14">
    <tableColumn id="18" name="名称" dataDxfId="24"/>
    <tableColumn id="1" name="角色" dataDxfId="25"/>
    <tableColumn id="4" name="等级" dataDxfId="26"/>
    <tableColumn id="5" name="伤害类型" dataDxfId="27"/>
    <tableColumn id="19" name="攻击倍率" dataDxfId="28"/>
    <tableColumn id="20" name="防御倍率" dataDxfId="29"/>
    <tableColumn id="21" name="生命倍率" dataDxfId="30"/>
    <tableColumn id="22" name="固定伤害" dataDxfId="31"/>
    <tableColumn id="23" name="技能范围" dataDxfId="32"/>
    <tableColumn id="2" name="固定范围" dataDxfId="33"/>
    <tableColumn id="24" name="技能持续" dataDxfId="34"/>
    <tableColumn id="3" name="固定持续" dataDxfId="35"/>
    <tableColumn id="25" name="神智消耗" dataDxfId="36"/>
    <tableColumn id="26" name="持续消耗" dataDxfId="37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BUFF表" displayName="BUFF表" ref="A1:BB67" totalsRowShown="0">
  <autoFilter xmlns:etc="http://www.wps.cn/officeDocument/2017/etCustomData" ref="A1:BB67" etc:filterBottomFollowUsedRange="0"/>
  <tableColumns count="54">
    <tableColumn id="1" name="名称"/>
    <tableColumn id="51" name="a"/>
    <tableColumn id="52" name="b"/>
    <tableColumn id="56" name="dx"/>
    <tableColumn id="55" name="lx"/>
    <tableColumn id="50" name="mx"/>
    <tableColumn id="9" name="描述"/>
    <tableColumn id="2" name="攻击" dataDxfId="38"/>
    <tableColumn id="4" name="生命" dataDxfId="39"/>
    <tableColumn id="14" name="护盾" dataDxfId="40"/>
    <tableColumn id="3" name="防御" dataDxfId="41"/>
    <tableColumn id="18" name="神智" dataDxfId="42"/>
    <tableColumn id="17" name="威力" dataDxfId="43"/>
    <tableColumn id="16" name="耐久" dataDxfId="44"/>
    <tableColumn id="15" name="效益" dataDxfId="45"/>
    <tableColumn id="19" name="范围" dataDxfId="46"/>
    <tableColumn id="5" name="昂扬" dataDxfId="47"/>
    <tableColumn id="6" name="背水" dataDxfId="48"/>
    <tableColumn id="13" name="增伤" dataDxfId="49"/>
    <tableColumn id="21" name="独立增伤" dataDxfId="50"/>
    <tableColumn id="12" name="武器伤害" dataDxfId="51"/>
    <tableColumn id="11" name="技能伤害" dataDxfId="52"/>
    <tableColumn id="30" name="神智回复" dataDxfId="53"/>
    <tableColumn id="7" name="暴击" dataDxfId="54"/>
    <tableColumn id="8" name="暴伤" dataDxfId="55"/>
    <tableColumn id="22" name="攻速" dataDxfId="56"/>
    <tableColumn id="41" name="多重" dataDxfId="57"/>
    <tableColumn id="10" name="追加伤害" dataDxfId="58"/>
    <tableColumn id="39" name="属性伤" dataDxfId="59"/>
    <tableColumn id="42" name="MOD属性" dataDxfId="60"/>
    <tableColumn id="20" name="属性穿透" dataDxfId="61"/>
    <tableColumn id="49" name="异常数量" dataDxfId="62"/>
    <tableColumn id="23" name="无视防御" dataDxfId="63"/>
    <tableColumn id="25" name="固定攻击" dataDxfId="64"/>
    <tableColumn id="26" name="技能速度" dataDxfId="65"/>
    <tableColumn id="27" name="召唤物范围" dataDxfId="66"/>
    <tableColumn id="28" name="召唤物攻速" dataDxfId="67"/>
    <tableColumn id="48" name="召唤物攻击" dataDxfId="68"/>
    <tableColumn id="47" name="召唤物伤害" dataDxfId="69"/>
    <tableColumn id="29" name="失衡易伤" dataDxfId="70"/>
    <tableColumn id="31" name="近战攻击" dataDxfId="71"/>
    <tableColumn id="33" name="近战暴击" dataDxfId="72"/>
    <tableColumn id="34" name="近战暴伤" dataDxfId="73"/>
    <tableColumn id="35" name="近战触发" dataDxfId="74"/>
    <tableColumn id="24" name="近战攻速" dataDxfId="75"/>
    <tableColumn id="32" name="近战范围" dataDxfId="76"/>
    <tableColumn id="36" name="近战增伤" dataDxfId="77"/>
    <tableColumn id="37" name="远程攻击" dataDxfId="78"/>
    <tableColumn id="38" name="远程攻速" dataDxfId="79"/>
    <tableColumn id="40" name="远程暴击" dataDxfId="80"/>
    <tableColumn id="43" name="远程暴伤" dataDxfId="81"/>
    <tableColumn id="44" name="远程触发" dataDxfId="82"/>
    <tableColumn id="45" name="远程多重" dataDxfId="83"/>
    <tableColumn id="46" name="远程增伤" dataDxfId="84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2" name="烛芯表" displayName="烛芯表" ref="A1:AW112" totalsRowShown="0">
  <autoFilter xmlns:etc="http://www.wps.cn/officeDocument/2017/etCustomData" ref="A1:AW112" etc:filterBottomFollowUsedRange="0"/>
  <tableColumns count="49">
    <tableColumn id="1" name="名称"/>
    <tableColumn id="2" name="系列"/>
    <tableColumn id="3" name="等级"/>
    <tableColumn id="44" name="备注"/>
    <tableColumn id="4" name="攻击"/>
    <tableColumn id="5" name="生命"/>
    <tableColumn id="6" name="护盾"/>
    <tableColumn id="7" name="防御"/>
    <tableColumn id="8" name="神智"/>
    <tableColumn id="9" name="威力"/>
    <tableColumn id="10" name="耐久"/>
    <tableColumn id="11" name="效益"/>
    <tableColumn id="12" name="范围"/>
    <tableColumn id="13" name="昂扬"/>
    <tableColumn id="14" name="背水"/>
    <tableColumn id="15" name="增伤"/>
    <tableColumn id="16" name="独立增伤"/>
    <tableColumn id="17" name="武器伤害"/>
    <tableColumn id="18" name="技能伤害"/>
    <tableColumn id="19" name="暴击"/>
    <tableColumn id="20" name="暴伤"/>
    <tableColumn id="21" name="攻速"/>
    <tableColumn id="22" name="多重"/>
    <tableColumn id="23" name="追加伤害"/>
    <tableColumn id="24" name="属性伤"/>
    <tableColumn id="25" name="属性魔之楔属性"/>
    <tableColumn id="26" name="属性穿透"/>
    <tableColumn id="27" name="无视防御"/>
    <tableColumn id="28" name="固定攻击"/>
    <tableColumn id="29" name="技能速度"/>
    <tableColumn id="30" name="召唤物范围"/>
    <tableColumn id="31" name="召唤物攻速"/>
    <tableColumn id="49" name="召唤物攻击"/>
    <tableColumn id="51" name="召唤物伤害"/>
    <tableColumn id="32" name="失衡易伤"/>
    <tableColumn id="34" name="近战攻击"/>
    <tableColumn id="35" name="近战暴击"/>
    <tableColumn id="36" name="近战暴伤"/>
    <tableColumn id="37" name="近战触发"/>
    <tableColumn id="45" name="近战攻速"/>
    <tableColumn id="46" name="近战范围"/>
    <tableColumn id="38" name="近战增伤"/>
    <tableColumn id="39" name="远程攻击"/>
    <tableColumn id="48" name="远程攻速"/>
    <tableColumn id="40" name="远程暴击"/>
    <tableColumn id="41" name="远程暴伤"/>
    <tableColumn id="42" name="远程触发"/>
    <tableColumn id="47" name="远程多重"/>
    <tableColumn id="43" name="远程增伤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13" name="代码表" displayName="代码表" ref="A1:G530" totalsRowShown="0">
  <autoFilter xmlns:etc="http://www.wps.cn/officeDocument/2017/etCustomData" ref="A1:G530" etc:filterBottomFollowUsedRange="0"/>
  <sortState ref="A1:G530">
    <sortCondition ref="F1"/>
  </sortState>
  <tableColumns count="7">
    <tableColumn id="1" name="名称"/>
    <tableColumn id="2" name="代码" dataDxfId="85"/>
    <tableColumn id="5" name="类型"/>
    <tableColumn id="3" name="属性"/>
    <tableColumn id="4" name="品质"/>
    <tableColumn id="6" name="序号" dataDxfId="86">
      <calculatedColumnFormula array="1">SUM(_xlfn.MAP(_xlfn.SEQUENCE(4),_xlfn.LAMBDA(_xlpm.i,POWER(36,4-_xlpm.i)*_xlfn.MAP(MID(代码表[[#This Row],[代码]],_xlpm.i,1),_xlfn.LAMBDA(_xlpm.a,IF(CODE(_xlpm.a)&gt;64,CODE(_xlpm.a)-55,CODE(_xlpm.a)-48))))))</calculatedColumnFormula>
    </tableColumn>
    <tableColumn id="7" name="列1">
      <calculatedColumnFormula array="1">IFERROR(INDEX(角色MOD表[],MATCH(1,(角色MOD表[名称]=A2)*(角色MOD表[品质]=E2)*IF(D2="",1,(角色MOD表[属性]="")+ISNUMBER(FIND(D2,角色MOD表[属性]))),0),2),INDEX(武器MOD表[],MATCH(1,(武器MOD表[名称]=A2)*(武器MOD表[品质]=E2)*((武器MOD表[类型]=C2)+(武器MOD表[限定]=C2)),0),2))</calculatedColumnFormula>
    </tableColumn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2" name="角色MOD表" displayName="角色MOD表" ref="A1:AE184" totalsRowShown="0">
  <autoFilter xmlns:etc="http://www.wps.cn/officeDocument/2017/etCustomData" ref="A1:AE184" etc:filterBottomFollowUsedRange="0"/>
  <sortState ref="A1:AE184">
    <sortCondition ref="C1"/>
  </sortState>
  <tableColumns count="31">
    <tableColumn id="1" name="名称" dataDxfId="87"/>
    <tableColumn id="2" name="系列" dataDxfId="88"/>
    <tableColumn id="3" name="品质" dataDxfId="89"/>
    <tableColumn id="4" name="属性" dataDxfId="90"/>
    <tableColumn id="5" name="极性" dataDxfId="91"/>
    <tableColumn id="6" name="耐受" dataDxfId="92"/>
    <tableColumn id="7" name="威力" dataDxfId="93"/>
    <tableColumn id="8" name="耐久" dataDxfId="94"/>
    <tableColumn id="9" name="效益" dataDxfId="95"/>
    <tableColumn id="10" name="范围" dataDxfId="96"/>
    <tableColumn id="12" name="攻击" dataDxfId="97"/>
    <tableColumn id="13" name="生命" dataDxfId="98"/>
    <tableColumn id="14" name="护盾" dataDxfId="99"/>
    <tableColumn id="15" name="防御" dataDxfId="100"/>
    <tableColumn id="11" name="神智" dataDxfId="101"/>
    <tableColumn id="16" name="属性伤" dataDxfId="102"/>
    <tableColumn id="17" name="减伤" dataDxfId="103"/>
    <tableColumn id="18" name="增伤" dataDxfId="104"/>
    <tableColumn id="24" name="武器伤害" dataDxfId="105"/>
    <tableColumn id="23" name="技能伤害" dataDxfId="106"/>
    <tableColumn id="19" name="独立增伤" dataDxfId="107"/>
    <tableColumn id="21" name="昂扬" dataDxfId="108"/>
    <tableColumn id="20" name="背水" dataDxfId="109"/>
    <tableColumn id="30" name="追加伤害" dataDxfId="110"/>
    <tableColumn id="28" name="固定攻击" dataDxfId="111"/>
    <tableColumn id="27" name="技能速度" dataDxfId="112"/>
    <tableColumn id="25" name="召唤物范围" dataDxfId="113"/>
    <tableColumn id="26" name="召唤物攻速" dataDxfId="114"/>
    <tableColumn id="29" name="失衡易伤" dataDxfId="115"/>
    <tableColumn id="31" name="神智回复" dataDxfId="116"/>
    <tableColumn id="22" name="效果" dataDxfId="11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6" name="武器MOD表" displayName="武器MOD表" ref="A1:AA203" totalsRowShown="0">
  <autoFilter xmlns:etc="http://www.wps.cn/officeDocument/2017/etCustomData" ref="A1:AA203" etc:filterBottomFollowUsedRange="0"/>
  <tableColumns count="27">
    <tableColumn id="1" name="名称"/>
    <tableColumn id="2" name="系列"/>
    <tableColumn id="3" name="品质"/>
    <tableColumn id="4" name="类型"/>
    <tableColumn id="26" name="限定"/>
    <tableColumn id="5" name="极性"/>
    <tableColumn id="6" name="耐受"/>
    <tableColumn id="7" name="攻击"/>
    <tableColumn id="8" name="暴击"/>
    <tableColumn id="9" name="暴伤"/>
    <tableColumn id="10" name="触发"/>
    <tableColumn id="20" name="物理"/>
    <tableColumn id="11" name="攻速"/>
    <tableColumn id="12" name="范围"/>
    <tableColumn id="13" name="多重"/>
    <tableColumn id="25" name="滑行伤害"/>
    <tableColumn id="24" name="滑行速度"/>
    <tableColumn id="23" name="下落伤害"/>
    <tableColumn id="22" name="下落速度"/>
    <tableColumn id="21" name="蓄力速度"/>
    <tableColumn id="14" name="弹药"/>
    <tableColumn id="15" name="弹匣"/>
    <tableColumn id="16" name="装填"/>
    <tableColumn id="17" name="弹转"/>
    <tableColumn id="19" name="独立增伤"/>
    <tableColumn id="27" name="触发倍率"/>
    <tableColumn id="18" name="效果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3" name="近战武器表" displayName="近战武器表" ref="A1:AC50" totalsRowShown="0">
  <autoFilter xmlns:etc="http://www.wps.cn/officeDocument/2017/etCustomData" ref="A1:AC50" etc:filterBottomFollowUsedRange="0"/>
  <tableColumns count="29">
    <tableColumn id="1" name="名称"/>
    <tableColumn id="3" name="类型"/>
    <tableColumn id="2" name="类别"/>
    <tableColumn id="4" name="伤害类型"/>
    <tableColumn id="29" name="弹道类型"/>
    <tableColumn id="5" name="基础攻击"/>
    <tableColumn id="6" name="基础暴击" dataDxfId="118"/>
    <tableColumn id="7" name="基础暴伤" dataDxfId="119"/>
    <tableColumn id="8" name="基础触发" dataDxfId="120"/>
    <tableColumn id="9" name="暴击" dataDxfId="121"/>
    <tableColumn id="10" name="暴伤" dataDxfId="122"/>
    <tableColumn id="11" name="触发" dataDxfId="123"/>
    <tableColumn id="12" name="多重" dataDxfId="124"/>
    <tableColumn id="13" name="攻速" dataDxfId="125"/>
    <tableColumn id="14" name="攻击范围" dataDxfId="126"/>
    <tableColumn id="15" name="威力" dataDxfId="127"/>
    <tableColumn id="16" name="耐久" dataDxfId="128"/>
    <tableColumn id="17" name="效益" dataDxfId="129"/>
    <tableColumn id="18" name="范围" dataDxfId="130"/>
    <tableColumn id="19" name="神智" dataDxfId="131"/>
    <tableColumn id="20" name="攻击" dataDxfId="132"/>
    <tableColumn id="21" name="生命" dataDxfId="133"/>
    <tableColumn id="22" name="护盾" dataDxfId="134"/>
    <tableColumn id="23" name="防御" dataDxfId="135"/>
    <tableColumn id="24" name="背水" dataDxfId="136"/>
    <tableColumn id="25" name="昂扬" dataDxfId="137"/>
    <tableColumn id="26" name="增伤" dataDxfId="138"/>
    <tableColumn id="27" name="武器伤害" dataDxfId="139"/>
    <tableColumn id="28" name="技能伤害" dataDxfId="1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4" name="远程武器表" displayName="远程武器表" ref="A1:AB25" totalsRowShown="0">
  <autoFilter xmlns:etc="http://www.wps.cn/officeDocument/2017/etCustomData" ref="A1:AB25" etc:filterBottomFollowUsedRange="0"/>
  <tableColumns count="28">
    <tableColumn id="1" name="名称"/>
    <tableColumn id="2" name="类型"/>
    <tableColumn id="4" name="伤害类型"/>
    <tableColumn id="3" name="弹道类型"/>
    <tableColumn id="5" name="基础攻击"/>
    <tableColumn id="6" name="基础暴击" dataDxfId="141"/>
    <tableColumn id="7" name="基础暴伤" dataDxfId="142"/>
    <tableColumn id="8" name="基础触发" dataDxfId="143"/>
    <tableColumn id="9" name="暴击" dataDxfId="144"/>
    <tableColumn id="10" name="暴伤" dataDxfId="145"/>
    <tableColumn id="11" name="触发" dataDxfId="146"/>
    <tableColumn id="12" name="多重" dataDxfId="147"/>
    <tableColumn id="13" name="攻速" dataDxfId="148"/>
    <tableColumn id="14" name="攻击范围" dataDxfId="149"/>
    <tableColumn id="15" name="威力" dataDxfId="150"/>
    <tableColumn id="16" name="耐久" dataDxfId="151"/>
    <tableColumn id="17" name="效益" dataDxfId="152"/>
    <tableColumn id="18" name="范围" dataDxfId="153"/>
    <tableColumn id="19" name="神智" dataDxfId="154"/>
    <tableColumn id="20" name="攻击" dataDxfId="155"/>
    <tableColumn id="21" name="生命" dataDxfId="156"/>
    <tableColumn id="22" name="护盾" dataDxfId="157"/>
    <tableColumn id="23" name="防御" dataDxfId="158"/>
    <tableColumn id="24" name="背水" dataDxfId="159"/>
    <tableColumn id="25" name="昂扬" dataDxfId="160"/>
    <tableColumn id="26" name="增伤" dataDxfId="161"/>
    <tableColumn id="27" name="武器伤害" dataDxfId="162"/>
    <tableColumn id="28" name="技能伤害" dataDxfId="16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9" name="近战倍率表" displayName="近战倍率表" ref="A1:D72" totalsRowShown="0">
  <autoFilter xmlns:etc="http://www.wps.cn/officeDocument/2017/etCustomData" ref="A1:D72" etc:filterBottomFollowUsedRange="0"/>
  <tableColumns count="4">
    <tableColumn id="1" name="武器类型"/>
    <tableColumn id="3" name="名称"/>
    <tableColumn id="4" name="倍率" dataDxfId="164"/>
    <tableColumn id="5" name="段数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0" name="远程倍率表" displayName="远程倍率表" ref="A1:F30" totalsRowShown="0">
  <autoFilter xmlns:etc="http://www.wps.cn/officeDocument/2017/etCustomData" ref="A1:F30" etc:filterBottomFollowUsedRange="0"/>
  <tableColumns count="6">
    <tableColumn id="1" name="武器类型"/>
    <tableColumn id="2" name="武器名称"/>
    <tableColumn id="5" name="名称"/>
    <tableColumn id="3" name="倍率" dataDxfId="165"/>
    <tableColumn id="4" name="弹片数"/>
    <tableColumn id="6" name="射速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4" name="同律倍率表" displayName="同律倍率表" ref="A1:H47" totalsRowShown="0">
  <autoFilter xmlns:etc="http://www.wps.cn/officeDocument/2017/etCustomData" ref="A1:H47" etc:filterBottomFollowUsedRange="0"/>
  <tableColumns count="8">
    <tableColumn id="1" name="武器名称"/>
    <tableColumn id="8" name="名称"/>
    <tableColumn id="2" name="等级"/>
    <tableColumn id="3" name="攻击倍率"/>
    <tableColumn id="4" name="攻击段数"/>
    <tableColumn id="5" name="弹片数"/>
    <tableColumn id="6" name="射速"/>
    <tableColumn id="7" name="弹道类型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autoPageBreaks="0"/>
  </sheetPr>
  <dimension ref="A1:CH162"/>
  <sheetViews>
    <sheetView topLeftCell="U52" workbookViewId="0">
      <selection activeCell="M147" sqref="M147"/>
    </sheetView>
  </sheetViews>
  <sheetFormatPr defaultColWidth="9" defaultRowHeight="14.25"/>
  <cols>
    <col min="1" max="1" width="11.375" customWidth="1"/>
    <col min="2" max="2" width="13.875" customWidth="1"/>
    <col min="3" max="3" width="12.75" customWidth="1"/>
    <col min="4" max="4" width="10.875" customWidth="1"/>
    <col min="5" max="5" width="16.375" customWidth="1"/>
    <col min="6" max="19" width="10.875" customWidth="1"/>
    <col min="20" max="20" width="12.75" customWidth="1"/>
    <col min="21" max="21" width="12.625"/>
  </cols>
  <sheetData>
    <row r="1" customHeight="1" spans="1:86">
      <c r="A1" s="67" t="s">
        <v>0</v>
      </c>
      <c r="B1" s="67"/>
      <c r="C1" s="67"/>
      <c r="D1" s="67"/>
      <c r="E1" s="67"/>
      <c r="F1" s="67"/>
      <c r="G1" s="67"/>
      <c r="H1" s="67"/>
      <c r="I1" s="67"/>
      <c r="J1" s="67"/>
      <c r="K1" s="67"/>
      <c r="L1" s="67"/>
      <c r="M1" s="67"/>
      <c r="N1" s="67"/>
      <c r="O1" s="67"/>
      <c r="P1" s="67"/>
      <c r="Q1" s="67"/>
      <c r="R1" s="67"/>
      <c r="S1" s="67"/>
      <c r="AV1" t="s">
        <v>1</v>
      </c>
      <c r="AW1" t="s">
        <v>2</v>
      </c>
      <c r="AX1" t="s">
        <v>3</v>
      </c>
      <c r="AY1" t="s">
        <v>4</v>
      </c>
      <c r="AZ1" t="s">
        <v>5</v>
      </c>
      <c r="BA1" t="s">
        <v>6</v>
      </c>
      <c r="BB1" t="s">
        <v>7</v>
      </c>
      <c r="BC1" t="s">
        <v>8</v>
      </c>
      <c r="BD1" t="s">
        <v>9</v>
      </c>
      <c r="BE1">
        <v>1</v>
      </c>
      <c r="BF1">
        <v>2</v>
      </c>
      <c r="BG1">
        <v>3</v>
      </c>
      <c r="BH1">
        <v>4</v>
      </c>
      <c r="BI1">
        <v>5</v>
      </c>
      <c r="BJ1">
        <v>0</v>
      </c>
      <c r="BK1" cm="1">
        <f t="array" ref="BK1:BK12">_xlfn.SEQUENCE(IFERROR(VLOOKUP(INDEX(BUFF,COLUMNS($BK1:BK1)),BUFF表[],MATCH("mx",BUFF表[#Headers],0),0),0)+1-IFERROR(VLOOKUP(INDEX(BUFF,COLUMNS($BK1:BK1)),BUFF表[],MATCH("lx",BUFF表[#Headers],0),0),0),1,IFERROR(VLOOKUP(INDEX(BUFF,COLUMNS($BK1:BK1)),BUFF表[],MATCH("lx",BUFF表[#Headers],0),0),0))</f>
        <v>1</v>
      </c>
      <c r="BL1" cm="1">
        <f t="array" ref="BL1">_xlfn.SEQUENCE(IFERROR(VLOOKUP(INDEX(BUFF,COLUMNS($BK1:BL1)),BUFF表[],MATCH("mx",BUFF表[#Headers],0),0),0)+1-IFERROR(VLOOKUP(INDEX(BUFF,COLUMNS($BK1:BL1)),BUFF表[],MATCH("lx",BUFF表[#Headers],0),0),0),1,IFERROR(VLOOKUP(INDEX(BUFF,COLUMNS($BK1:BL1)),BUFF表[],MATCH("lx",BUFF表[#Headers],0),0),0))</f>
        <v>0</v>
      </c>
      <c r="BM1" cm="1">
        <f t="array" ref="BM1:BM11">_xlfn.SEQUENCE(IFERROR(VLOOKUP(INDEX(BUFF,COLUMNS($BK1:BM1)),BUFF表[],MATCH("mx",BUFF表[#Headers],0),0),0)+1-IFERROR(VLOOKUP(INDEX(BUFF,COLUMNS($BK1:BM1)),BUFF表[],MATCH("lx",BUFF表[#Headers],0),0),0),1,IFERROR(VLOOKUP(INDEX(BUFF,COLUMNS($BK1:BM1)),BUFF表[],MATCH("lx",BUFF表[#Headers],0),0),0))</f>
        <v>0</v>
      </c>
      <c r="BN1" cm="1">
        <f t="array" ref="BN1:BN12">_xlfn.SEQUENCE(IFERROR(VLOOKUP(INDEX(BUFF,COLUMNS($BK1:BN1)),BUFF表[],MATCH("mx",BUFF表[#Headers],0),0),0)+1-IFERROR(VLOOKUP(INDEX(BUFF,COLUMNS($BK1:BN1)),BUFF表[],MATCH("lx",BUFF表[#Headers],0),0),0),1,IFERROR(VLOOKUP(INDEX(BUFF,COLUMNS($BK1:BN1)),BUFF表[],MATCH("lx",BUFF表[#Headers],0),0),0))</f>
        <v>1</v>
      </c>
      <c r="BO1" cm="1">
        <f t="array" ref="BO1">_xlfn.SEQUENCE(IFERROR(VLOOKUP(INDEX(BUFF,COLUMNS($BK1:BO1)),BUFF表[],MATCH("mx",BUFF表[#Headers],0),0),0)+1-IFERROR(VLOOKUP(INDEX(BUFF,COLUMNS($BK1:BO1)),BUFF表[],MATCH("lx",BUFF表[#Headers],0),0),0),1,IFERROR(VLOOKUP(INDEX(BUFF,COLUMNS($BK1:BO1)),BUFF表[],MATCH("lx",BUFF表[#Headers],0),0),0))</f>
        <v>0</v>
      </c>
      <c r="BP1" cm="1">
        <f t="array" ref="BP1:BP6">_xlfn.SEQUENCE(IFERROR(VLOOKUP(INDEX(BUFF,COLUMNS($BK1:BP1)),BUFF表[],MATCH("mx",BUFF表[#Headers],0),0),0)+1-IFERROR(VLOOKUP(INDEX(BUFF,COLUMNS($BK1:BP1)),BUFF表[],MATCH("lx",BUFF表[#Headers],0),0),0),1,IFERROR(VLOOKUP(INDEX(BUFF,COLUMNS($BK1:BP1)),BUFF表[],MATCH("lx",BUFF表[#Headers],0),0),0))</f>
        <v>0</v>
      </c>
      <c r="BQ1" cm="1">
        <f t="array" ref="BQ1">_xlfn.SEQUENCE(IFERROR(VLOOKUP(INDEX(BUFF,COLUMNS($BK1:BQ1)),BUFF表[],MATCH("mx",BUFF表[#Headers],0),0),0)+1-IFERROR(VLOOKUP(INDEX(BUFF,COLUMNS($BK1:BQ1)),BUFF表[],MATCH("lx",BUFF表[#Headers],0),0),0),1,IFERROR(VLOOKUP(INDEX(BUFF,COLUMNS($BK1:BQ1)),BUFF表[],MATCH("lx",BUFF表[#Headers],0),0),0))</f>
        <v>0</v>
      </c>
      <c r="BR1" cm="1">
        <f t="array" ref="BR1:BR6">_xlfn.SEQUENCE(IFERROR(VLOOKUP(INDEX(BUFF,COLUMNS($BK1:BR1)),BUFF表[],MATCH("mx",BUFF表[#Headers],0),0),0)+1-IFERROR(VLOOKUP(INDEX(BUFF,COLUMNS($BK1:BR1)),BUFF表[],MATCH("lx",BUFF表[#Headers],0),0),0),1,IFERROR(VLOOKUP(INDEX(BUFF,COLUMNS($BK1:BR1)),BUFF表[],MATCH("lx",BUFF表[#Headers],0),0),0))</f>
        <v>0</v>
      </c>
      <c r="BS1" cm="1">
        <f t="array" ref="BS1">_xlfn.SEQUENCE(IFERROR(VLOOKUP(INDEX(BUFF,COLUMNS($BK1:BS1)),BUFF表[],MATCH("mx",BUFF表[#Headers],0),0),0)+1-IFERROR(VLOOKUP(INDEX(BUFF,COLUMNS($BK1:BS1)),BUFF表[],MATCH("lx",BUFF表[#Headers],0),0),0),1,IFERROR(VLOOKUP(INDEX(BUFF,COLUMNS($BK1:BS1)),BUFF表[],MATCH("lx",BUFF表[#Headers],0),0),0))</f>
        <v>0</v>
      </c>
      <c r="BT1" cm="1">
        <f t="array" ref="BT1:BT11">_xlfn.SEQUENCE(IFERROR(VLOOKUP(INDEX(BUFF,COLUMNS($BK1:BT1)),BUFF表[],MATCH("mx",BUFF表[#Headers],0),0),0)+1-IFERROR(VLOOKUP(INDEX(BUFF,COLUMNS($BK1:BT1)),BUFF表[],MATCH("lx",BUFF表[#Headers],0),0),0),1,IFERROR(VLOOKUP(INDEX(BUFF,COLUMNS($BK1:BT1)),BUFF表[],MATCH("lx",BUFF表[#Headers],0),0),0))</f>
        <v>0</v>
      </c>
      <c r="BU1" cm="1">
        <f t="array" ref="BU1:BU11">_xlfn.SEQUENCE(IFERROR(VLOOKUP(INDEX(BUFF,COLUMNS($BK1:BU1)),BUFF表[],MATCH("mx",BUFF表[#Headers],0),0),0)+1-IFERROR(VLOOKUP(INDEX(BUFF,COLUMNS($BK1:BU1)),BUFF表[],MATCH("lx",BUFF表[#Headers],0),0),0),1,IFERROR(VLOOKUP(INDEX(BUFF,COLUMNS($BK1:BU1)),BUFF表[],MATCH("lx",BUFF表[#Headers],0),0),0))</f>
        <v>0</v>
      </c>
      <c r="BV1" cm="1">
        <f t="array" ref="BV1:BV11">_xlfn.SEQUENCE(IFERROR(VLOOKUP(INDEX(BUFF,COLUMNS($BK1:BV1)),BUFF表[],MATCH("mx",BUFF表[#Headers],0),0),0)+1-IFERROR(VLOOKUP(INDEX(BUFF,COLUMNS($BK1:BV1)),BUFF表[],MATCH("lx",BUFF表[#Headers],0),0),0),1,IFERROR(VLOOKUP(INDEX(BUFF,COLUMNS($BK1:BV1)),BUFF表[],MATCH("lx",BUFF表[#Headers],0),0),0))</f>
        <v>0</v>
      </c>
      <c r="BW1" cm="1">
        <f t="array" ref="BW1:BW4">_xlfn.SEQUENCE(IFERROR(VLOOKUP(INDEX(BUFF,COLUMNS($BK1:BW1)),BUFF表[],MATCH("mx",BUFF表[#Headers],0),0),0)+1-IFERROR(VLOOKUP(INDEX(BUFF,COLUMNS($BK1:BW1)),BUFF表[],MATCH("lx",BUFF表[#Headers],0),0),0),1,IFERROR(VLOOKUP(INDEX(BUFF,COLUMNS($BK1:BW1)),BUFF表[],MATCH("lx",BUFF表[#Headers],0),0),0))</f>
        <v>0</v>
      </c>
      <c r="BX1" cm="1">
        <f t="array" ref="BX1:BX11">_xlfn.SEQUENCE(IFERROR(VLOOKUP(INDEX(BUFF,COLUMNS($BK1:BX1)),BUFF表[],MATCH("mx",BUFF表[#Headers],0),0),0)+1-IFERROR(VLOOKUP(INDEX(BUFF,COLUMNS($BK1:BX1)),BUFF表[],MATCH("lx",BUFF表[#Headers],0),0),0),1,IFERROR(VLOOKUP(INDEX(BUFF,COLUMNS($BK1:BX1)),BUFF表[],MATCH("lx",BUFF表[#Headers],0),0),0))</f>
        <v>0</v>
      </c>
      <c r="BY1" cm="1">
        <f t="array" ref="BY1">_xlfn.SEQUENCE(IFERROR(VLOOKUP(INDEX(BUFF,COLUMNS($BK1:BY1)),BUFF表[],MATCH("mx",BUFF表[#Headers],0),0),0)+1-IFERROR(VLOOKUP(INDEX(BUFF,COLUMNS($BK1:BY1)),BUFF表[],MATCH("lx",BUFF表[#Headers],0),0),0),1,IFERROR(VLOOKUP(INDEX(BUFF,COLUMNS($BK1:BY1)),BUFF表[],MATCH("lx",BUFF表[#Headers],0),0),0))</f>
        <v>0</v>
      </c>
      <c r="BZ1" s="114" t="str" cm="1">
        <f t="array" ref="BZ1:BZ2">_xlfn._xlws.FILTER(角色MOD表[品质],角色MOD表[名称]=INDEX(角色MOD,COLUMNS($BK1:BK1)))</f>
        <v>金</v>
      </c>
      <c r="CA1" s="114" t="str" cm="1">
        <f t="array" ref="CA1:CA2">_xlfn._xlws.FILTER(角色MOD表[品质],角色MOD表[名称]=INDEX(角色MOD,COLUMNS($BK1:BL1)))</f>
        <v>金</v>
      </c>
      <c r="CB1" s="114" vm="1" t="e" cm="1">
        <f t="array" ref="CB1">_xlfn._xlws.FILTER(角色MOD表[品质],角色MOD表[名称]=INDEX(角色MOD,COLUMNS($BK1:BM1)))</f>
        <v>#VALUE!</v>
      </c>
      <c r="CC1" s="114" t="str" cm="1">
        <f t="array" ref="CC1:CC2">_xlfn._xlws.FILTER(角色MOD表[品质],角色MOD表[名称]=INDEX(角色MOD,COLUMNS($BK1:BN1)))</f>
        <v>金</v>
      </c>
      <c r="CD1" s="114" t="str" cm="1">
        <f t="array" ref="CD1:CD2">_xlfn._xlws.FILTER(角色MOD表[品质],角色MOD表[名称]=INDEX(角色MOD,COLUMNS($BK1:BO1)))</f>
        <v>金</v>
      </c>
      <c r="CE1" s="114" t="str" cm="1">
        <f t="array" ref="CE1:CE2">_xlfn._xlws.FILTER(角色MOD表[品质],角色MOD表[名称]=INDEX(角色MOD,COLUMNS($BK1:BP1)))</f>
        <v>金</v>
      </c>
      <c r="CF1" s="114" t="str" cm="1">
        <f t="array" ref="CF1:CF2">_xlfn._xlws.FILTER(角色MOD表[品质],角色MOD表[名称]=INDEX(角色MOD,COLUMNS($BK1:BQ1)))</f>
        <v>金</v>
      </c>
      <c r="CG1" s="114" t="str" cm="1">
        <f t="array" ref="CG1:CG2">_xlfn._xlws.FILTER(角色MOD表[品质],角色MOD表[名称]=INDEX(角色MOD,COLUMNS($BK1:BR1)))</f>
        <v>金</v>
      </c>
      <c r="CH1" s="114"/>
    </row>
    <row r="2" customHeight="1" spans="1:85">
      <c r="A2" s="67"/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AV2" t="str" cm="1">
        <f t="array" ref="AV2:AV121">_xlfn._xlws.FILTER(角色MOD表[名称],(角色MOD表[属性]="")+(ISNUMBER(FIND($B$6,角色MOD表[属性]))))</f>
        <v>炽灼</v>
      </c>
      <c r="AW2" t="str" cm="1">
        <f t="array" ref="AW2:AW46">_xlfn._xlws.FILTER(武器MOD表[名称],((武器MOD表[限定]="")+(武器MOD表[限定]=$B$63)+(武器MOD表[限定]=$B$62))*(武器MOD表[类型]="近战武器"))</f>
        <v>攻势</v>
      </c>
      <c r="AX2" t="str" cm="1">
        <f t="array" ref="AX2:AX55">_xlfn._xlws.FILTER(武器MOD表[名称],((武器MOD表[限定]="")+(武器MOD表[限定]=$B$95)+(武器MOD表[限定]=$B$94))*(武器MOD表[类型]="远程武器"))</f>
        <v>攻势</v>
      </c>
      <c r="AY2" vm="1" t="e" cm="1">
        <f t="array" ref="AY2">_xlfn._xlws.FILTER(武器MOD表[名称],武器MOD表[类型]=A123)</f>
        <v>#VALUE!</v>
      </c>
      <c r="AZ2" t="str" cm="1">
        <f t="array" ref="AZ2:AZ7">_xlfn._xlws.FILTER(技能表[名称],技能表[角色]=B3)</f>
        <v>鳞粉印记(E)</v>
      </c>
      <c r="BA2" vm="1" t="e" cm="1">
        <f t="array" ref="BA2">_xlfn._xlws.FILTER(近战倍率表[名称],近战倍率表[武器类型]=B62)</f>
        <v>#VALUE!</v>
      </c>
      <c r="BB2" t="str" cm="1">
        <f t="array" ref="BB2">_xlfn._xlws.FILTER(远程倍率表[名称],(远程倍率表[武器类型]=B94)*ISNUMBER(FIND(B92,远程倍率表[武器名称])))</f>
        <v>子弹伤害</v>
      </c>
      <c r="BC2" vm="2" t="e" cm="1">
        <f t="array" ref="BC2">_xlfn.UNIQUE(_xlfn._xlws.FILTER(同律倍率表[名称],(同律倍率表[武器名称]=B123)*ISNUMBER(FIND(B123,同律倍率表[武器名称]))))</f>
        <v>#VALUE!</v>
      </c>
      <c r="BD2" t="s">
        <v>10</v>
      </c>
      <c r="BE2" t="s">
        <v>11</v>
      </c>
      <c r="BF2" t="s">
        <v>12</v>
      </c>
      <c r="BG2" t="s">
        <v>13</v>
      </c>
      <c r="BH2" t="s">
        <v>14</v>
      </c>
      <c r="BI2" t="s">
        <v>15</v>
      </c>
      <c r="BJ2">
        <v>1</v>
      </c>
      <c r="BK2">
        <v>2</v>
      </c>
      <c r="BM2">
        <v>1</v>
      </c>
      <c r="BN2">
        <v>2</v>
      </c>
      <c r="BP2">
        <v>1</v>
      </c>
      <c r="BR2">
        <v>1</v>
      </c>
      <c r="BT2">
        <v>1</v>
      </c>
      <c r="BU2">
        <v>1</v>
      </c>
      <c r="BV2">
        <v>1</v>
      </c>
      <c r="BW2">
        <v>1</v>
      </c>
      <c r="BX2">
        <v>1</v>
      </c>
      <c r="BZ2" t="str">
        <v>紫</v>
      </c>
      <c r="CA2" t="str">
        <v>紫</v>
      </c>
      <c r="CC2" t="str">
        <v>紫</v>
      </c>
      <c r="CD2" t="str">
        <v>紫</v>
      </c>
      <c r="CE2" t="str">
        <v>紫</v>
      </c>
      <c r="CF2" t="str">
        <v>紫</v>
      </c>
      <c r="CG2" t="str">
        <v>紫</v>
      </c>
    </row>
    <row r="3" spans="1:76">
      <c r="A3" s="68" t="s">
        <v>16</v>
      </c>
      <c r="B3" s="69" t="s">
        <v>17</v>
      </c>
      <c r="C3" s="20" t="str">
        <f>IFERROR(VLOOKUP($B$3,角色表[],MATCH("近战",角色表[#Headers],0),0),"")</f>
        <v>长柄</v>
      </c>
      <c r="D3" s="20" t="str">
        <f>IFERROR(VLOOKUP($B$3,角色表[],MATCH("远程",角色表[#Headers],0),0),"")</f>
        <v>突击枪</v>
      </c>
      <c r="E3" s="68" t="s">
        <v>18</v>
      </c>
      <c r="F3" s="90">
        <v>80</v>
      </c>
      <c r="G3" s="68" t="s">
        <v>19</v>
      </c>
      <c r="H3" s="91">
        <v>2</v>
      </c>
      <c r="I3" s="68" t="s">
        <v>20</v>
      </c>
      <c r="J3" s="90">
        <v>180</v>
      </c>
      <c r="K3" s="68" t="s">
        <v>21</v>
      </c>
      <c r="L3" s="90" t="s">
        <v>22</v>
      </c>
      <c r="M3" s="89">
        <f>IF($L$3="小型",13,IF($L$3="大型",20,30))</f>
        <v>13</v>
      </c>
      <c r="AV3" t="str">
        <v>涅槃</v>
      </c>
      <c r="AW3" t="str">
        <v>迅捷</v>
      </c>
      <c r="AX3" t="str">
        <v>迅捷</v>
      </c>
      <c r="AZ3" t="str">
        <v>鳞粉印记(E)</v>
      </c>
      <c r="BD3" t="s">
        <v>23</v>
      </c>
      <c r="BE3" t="s">
        <v>24</v>
      </c>
      <c r="BF3" t="s">
        <v>25</v>
      </c>
      <c r="BG3" t="s">
        <v>26</v>
      </c>
      <c r="BH3" t="s">
        <v>27</v>
      </c>
      <c r="BI3" t="s">
        <v>28</v>
      </c>
      <c r="BJ3">
        <v>2</v>
      </c>
      <c r="BK3">
        <v>3</v>
      </c>
      <c r="BM3">
        <v>2</v>
      </c>
      <c r="BN3">
        <v>3</v>
      </c>
      <c r="BP3">
        <v>2</v>
      </c>
      <c r="BR3">
        <v>2</v>
      </c>
      <c r="BT3">
        <v>2</v>
      </c>
      <c r="BU3">
        <v>2</v>
      </c>
      <c r="BV3">
        <v>2</v>
      </c>
      <c r="BW3">
        <v>2</v>
      </c>
      <c r="BX3">
        <v>2</v>
      </c>
    </row>
    <row r="4" customFormat="1" spans="1:76">
      <c r="A4" s="68" t="s">
        <v>29</v>
      </c>
      <c r="B4" s="69" t="s">
        <v>30</v>
      </c>
      <c r="C4" s="68" t="s">
        <v>31</v>
      </c>
      <c r="D4" s="69" t="s">
        <v>32</v>
      </c>
      <c r="E4" s="68" t="s">
        <v>33</v>
      </c>
      <c r="F4" s="91">
        <v>0.01</v>
      </c>
      <c r="G4" s="68" t="s">
        <v>34</v>
      </c>
      <c r="H4" s="90" t="s">
        <v>35</v>
      </c>
      <c r="K4" s="68" t="s">
        <v>36</v>
      </c>
      <c r="L4" s="91">
        <v>0</v>
      </c>
      <c r="M4" s="78">
        <f>L4+IF($H$4="弱点",-4,IF($H$4="非弱点",0.5,0))</f>
        <v>-4</v>
      </c>
      <c r="AV4" t="str">
        <v>庇佑</v>
      </c>
      <c r="AW4" t="str">
        <v>领界</v>
      </c>
      <c r="AX4" t="str">
        <v>叠影</v>
      </c>
      <c r="AZ4" t="str">
        <v>浮光鳞粉(E)</v>
      </c>
      <c r="BD4" t="s">
        <v>37</v>
      </c>
      <c r="BE4" t="s">
        <v>38</v>
      </c>
      <c r="BF4" t="s">
        <v>39</v>
      </c>
      <c r="BG4" t="s">
        <v>40</v>
      </c>
      <c r="BH4" t="s">
        <v>15</v>
      </c>
      <c r="BI4" t="s">
        <v>27</v>
      </c>
      <c r="BJ4">
        <v>3</v>
      </c>
      <c r="BK4">
        <v>4</v>
      </c>
      <c r="BM4">
        <v>3</v>
      </c>
      <c r="BN4">
        <v>4</v>
      </c>
      <c r="BP4">
        <v>3</v>
      </c>
      <c r="BR4">
        <v>3</v>
      </c>
      <c r="BT4">
        <v>3</v>
      </c>
      <c r="BU4">
        <v>3</v>
      </c>
      <c r="BV4">
        <v>3</v>
      </c>
      <c r="BW4">
        <v>3</v>
      </c>
      <c r="BX4">
        <v>3</v>
      </c>
    </row>
    <row r="5" s="66" customFormat="1" ht="18" spans="1:76">
      <c r="A5" s="70" t="s">
        <v>41</v>
      </c>
      <c r="B5" s="70"/>
      <c r="C5" s="70"/>
      <c r="D5" s="70" t="s">
        <v>1</v>
      </c>
      <c r="E5" s="70"/>
      <c r="F5" s="70"/>
      <c r="G5" s="70"/>
      <c r="H5" s="70"/>
      <c r="I5" s="70"/>
      <c r="J5" s="70"/>
      <c r="K5" s="70"/>
      <c r="L5" s="70"/>
      <c r="M5" s="70"/>
      <c r="N5" s="70"/>
      <c r="O5" s="70"/>
      <c r="P5" s="70"/>
      <c r="Q5" s="70"/>
      <c r="R5" s="70"/>
      <c r="S5" s="70"/>
      <c r="T5" s="112" t="s">
        <v>42</v>
      </c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V5" t="str">
        <v>羽翼</v>
      </c>
      <c r="AW5" t="str">
        <v>锋锐</v>
      </c>
      <c r="AX5" t="str">
        <v>重压</v>
      </c>
      <c r="AY5"/>
      <c r="AZ5" t="str">
        <v>浮光鳞粉(E)</v>
      </c>
      <c r="BA5"/>
      <c r="BB5"/>
      <c r="BC5"/>
      <c r="BD5" t="s">
        <v>43</v>
      </c>
      <c r="BE5" t="s">
        <v>44</v>
      </c>
      <c r="BF5" t="s">
        <v>12</v>
      </c>
      <c r="BG5" t="s">
        <v>13</v>
      </c>
      <c r="BH5" t="s">
        <v>14</v>
      </c>
      <c r="BI5" t="s">
        <v>15</v>
      </c>
      <c r="BJ5">
        <v>4</v>
      </c>
      <c r="BK5" s="66">
        <v>5</v>
      </c>
      <c r="BM5" s="66">
        <v>4</v>
      </c>
      <c r="BN5" s="66">
        <v>5</v>
      </c>
      <c r="BP5" s="66">
        <v>4</v>
      </c>
      <c r="BR5" s="66">
        <v>4</v>
      </c>
      <c r="BT5" s="66">
        <v>4</v>
      </c>
      <c r="BU5" s="66">
        <v>4</v>
      </c>
      <c r="BV5" s="66">
        <v>4</v>
      </c>
      <c r="BX5" s="66">
        <v>4</v>
      </c>
    </row>
    <row r="6" spans="1:76">
      <c r="A6" s="71" t="s">
        <v>9</v>
      </c>
      <c r="B6" s="72" t="str">
        <f>IFERROR(VLOOKUP($B$3,角色表[],MATCH(A6,角色表[#Headers],0),0),"")</f>
        <v>风</v>
      </c>
      <c r="C6" s="73" cm="1">
        <f t="array" ref="C6">取角色总属性("属性伤")</f>
        <v>0.38394</v>
      </c>
      <c r="D6" s="74" t="s">
        <v>45</v>
      </c>
      <c r="E6" s="24" t="s">
        <v>46</v>
      </c>
      <c r="F6" s="24" t="s">
        <v>47</v>
      </c>
      <c r="G6" s="92" t="s">
        <v>48</v>
      </c>
      <c r="H6" s="24" t="s">
        <v>49</v>
      </c>
      <c r="I6" s="24" t="s">
        <v>50</v>
      </c>
      <c r="J6" s="104" t="s">
        <v>51</v>
      </c>
      <c r="K6" s="104" t="s">
        <v>52</v>
      </c>
      <c r="L6" s="105" t="s">
        <v>53</v>
      </c>
      <c r="M6" s="105"/>
      <c r="N6" s="105" t="s">
        <v>54</v>
      </c>
      <c r="O6" s="105"/>
      <c r="P6" s="105" t="s">
        <v>55</v>
      </c>
      <c r="Q6" s="105"/>
      <c r="R6" s="105" t="s">
        <v>56</v>
      </c>
      <c r="S6" s="105"/>
      <c r="T6" s="20" t="s">
        <v>57</v>
      </c>
      <c r="U6" s="20" t="s">
        <v>58</v>
      </c>
      <c r="V6" s="20" t="s">
        <v>59</v>
      </c>
      <c r="W6" s="20" t="s">
        <v>60</v>
      </c>
      <c r="X6" s="20" t="s">
        <v>61</v>
      </c>
      <c r="Y6" s="20" t="s">
        <v>62</v>
      </c>
      <c r="Z6" s="20" t="s">
        <v>63</v>
      </c>
      <c r="AA6" s="20" t="s">
        <v>64</v>
      </c>
      <c r="AB6" s="20" t="s">
        <v>65</v>
      </c>
      <c r="AC6" s="20" t="s">
        <v>66</v>
      </c>
      <c r="AD6" s="20" t="s">
        <v>67</v>
      </c>
      <c r="AE6" s="20" t="s">
        <v>68</v>
      </c>
      <c r="AF6" s="18" t="s">
        <v>69</v>
      </c>
      <c r="AG6" s="18" t="s">
        <v>70</v>
      </c>
      <c r="AH6" s="18" t="s">
        <v>71</v>
      </c>
      <c r="AV6" t="str">
        <v>坚守</v>
      </c>
      <c r="AW6" t="str">
        <v>专注</v>
      </c>
      <c r="AX6" t="str">
        <v>专注</v>
      </c>
      <c r="AZ6" t="str">
        <v>腐草为萤(Q)</v>
      </c>
      <c r="BD6" t="s">
        <v>72</v>
      </c>
      <c r="BE6" t="s">
        <v>73</v>
      </c>
      <c r="BF6" t="s">
        <v>74</v>
      </c>
      <c r="BG6" t="s">
        <v>75</v>
      </c>
      <c r="BH6" t="s">
        <v>76</v>
      </c>
      <c r="BI6" t="s">
        <v>14</v>
      </c>
      <c r="BJ6">
        <v>5</v>
      </c>
      <c r="BK6">
        <v>6</v>
      </c>
      <c r="BM6">
        <v>5</v>
      </c>
      <c r="BN6">
        <v>6</v>
      </c>
      <c r="BP6">
        <v>5</v>
      </c>
      <c r="BR6">
        <v>5</v>
      </c>
      <c r="BT6">
        <v>5</v>
      </c>
      <c r="BU6">
        <v>5</v>
      </c>
      <c r="BV6">
        <v>5</v>
      </c>
      <c r="BX6">
        <v>5</v>
      </c>
    </row>
    <row r="7" spans="1:76">
      <c r="A7" s="68" t="s">
        <v>58</v>
      </c>
      <c r="B7" s="75" cm="1">
        <f t="array" ref="B7">VLOOKUP($B$3,角色表[],MATCH("基础"&amp;A7,角色表[#Headers],0),0)*IFERROR(INDEX({0.07967,0.2063,0.3021,0.4137,0.5291,0.6826,0.8136,1},,ROUNDUP($F$3/10,0)),1)</f>
        <v>351.46</v>
      </c>
      <c r="C7" s="75" cm="1">
        <f t="array" ref="C7">取角色总属性(A7)*(1+$C$6)</f>
        <v>6096.68763763837</v>
      </c>
      <c r="D7" s="76">
        <f t="shared" ref="D7:D14" si="0">(B$39-T7)/T7</f>
        <v>0.136511951330244</v>
      </c>
      <c r="E7" s="69" t="s">
        <v>77</v>
      </c>
      <c r="F7" s="93" t="str">
        <f>IFERROR(VLOOKUP($E7,角色MOD表[],MATCH(F$6,角色MOD表[#Headers],0),0),"")</f>
        <v>百首</v>
      </c>
      <c r="G7" s="94" t="s">
        <v>78</v>
      </c>
      <c r="H7" s="93" t="str">
        <f>IFERROR(VLOOKUP($E7,角色MOD表[],MATCH(H$6,角色MOD表[#Headers],0),0),"")&amp;""</f>
        <v>A</v>
      </c>
      <c r="I7" s="93">
        <f>IF(AND(K7&lt;&gt;"",H7&lt;&gt;""),ROUNDUP(IF(H7=K7,IFERROR(VLOOKUP($E7,角色MOD表[],6,0)+$J7-IF($G7="金",10,IF($G7="绿",3,5)),0)/2,IFERROR(VLOOKUP($E7,角色MOD表[],6,0)+$J7-IF($G7="金",10,IF($G7="绿",3,5)),0)*1.5),0),IFERROR(VLOOKUP($E7,角色MOD表[],6,0)+$J7-IF($G7="金",10,IF($G7="绿",3,5)),0))</f>
        <v>23</v>
      </c>
      <c r="J7" s="106">
        <v>5</v>
      </c>
      <c r="K7" s="69"/>
      <c r="L7" s="68" t="str" cm="1">
        <f t="array" ref="L7">IFERROR(INDEX(角色MOD表[#Headers],SMALL(_xlfn._xlws.FILTER(COLUMN(_xlfn.DROP(INDEX(角色MOD表[],MATCH($E7,角色MOD表[名称],0),),,MATCH("耐受",角色MOD表[#Headers],0)))*(_xlfn.DROP(INDEX(角色MOD表[],MATCH($E7,角色MOD表[名称],0),),,6)&lt;&gt;""),COLUMN(_xlfn.DROP(INDEX(角色MOD表[],MATCH($E7,角色MOD表[名称],0),),,MATCH("耐受",角色MOD表[#Headers],0)))*(_xlfn.DROP(INDEX(角色MOD表[],MATCH($E7,角色MOD表[名称],0),),,6)&lt;&gt;"")&lt;&gt;0),ROUNDUP(COLUMNS($L7:L7)/2,0))),"")</f>
        <v>攻击</v>
      </c>
      <c r="M7" s="78" cm="1">
        <f t="array" ref="M7">IFERROR(_xlfn.MAP(INDEX(INDEX(角色MOD表[],MATCH($E7,角色MOD表[名称],0),),SMALL(_xlfn._xlws.FILTER(COLUMN(_xlfn.DROP(INDEX(角色MOD表[],MATCH($E7,角色MOD表[名称],0),),,MATCH("耐受",角色MOD表[#Headers],0)))*(_xlfn.DROP(INDEX(角色MOD表[],MATCH($E7,角色MOD表[名称],0),),,MATCH("耐受",角色MOD表[#Headers],0))&lt;&gt;""),COLUMN(_xlfn.DROP(INDEX(角色MOD表[],MATCH($E7,角色MOD表[名称],0),),,MATCH("耐受",角色MOD表[#Headers],0)))*(_xlfn.DROP(INDEX(角色MOD表[],MATCH($E7,角色MOD表[名称],0),),,MATCH("耐受",角色MOD表[#Headers],0))&lt;&gt;"")&lt;&gt;0),ROUNDUP(COLUMNS($L7:L7)/2,0))),_xlfn.LAMBDA(_xlpm.x,IFERROR(IF(ISNUMBER(MATCH($F7,{"百首","狮鹫","契约者"},0)),1+SUM(IFERROR(BUFF层数乘数*VLOOKUP(BUFF,BUFF表[],MATCH("MOD属性",BUFF表[#Headers],0),0),0)),1)*MIN(1,($J7+1)/IF($G7="金",11,IF($G7="绿",4,6)))*_xlpm.x,_xlpm.x))),"")</f>
        <v>0.85512</v>
      </c>
      <c r="N7" s="68" t="str" cm="1">
        <f t="array" ref="N7">IFERROR(INDEX(角色MOD表[#Headers],SMALL(_xlfn._xlws.FILTER(COLUMN(_xlfn.DROP(INDEX(角色MOD表[],MATCH($E7,角色MOD表[名称],0),),,MATCH("耐受",角色MOD表[#Headers],0)))*(_xlfn.DROP(INDEX(角色MOD表[],MATCH($E7,角色MOD表[名称],0),),,6)&lt;&gt;""),COLUMN(_xlfn.DROP(INDEX(角色MOD表[],MATCH($E7,角色MOD表[名称],0),),,MATCH("耐受",角色MOD表[#Headers],0)))*(_xlfn.DROP(INDEX(角色MOD表[],MATCH($E7,角色MOD表[名称],0),),,6)&lt;&gt;"")&lt;&gt;0),ROUNDUP(COLUMNS($L7:N7)/2,0))),"")</f>
        <v>生命</v>
      </c>
      <c r="O7" s="78" cm="1">
        <f t="array" ref="O7">IFERROR(_xlfn.MAP(INDEX(INDEX(角色MOD表[],MATCH($E7,角色MOD表[名称],0),),SMALL(_xlfn._xlws.FILTER(COLUMN(_xlfn.DROP(INDEX(角色MOD表[],MATCH($E7,角色MOD表[名称],0),),,MATCH("耐受",角色MOD表[#Headers],0)))*(_xlfn.DROP(INDEX(角色MOD表[],MATCH($E7,角色MOD表[名称],0),),,MATCH("耐受",角色MOD表[#Headers],0))&lt;&gt;""),COLUMN(_xlfn.DROP(INDEX(角色MOD表[],MATCH($E7,角色MOD表[名称],0),),,MATCH("耐受",角色MOD表[#Headers],0)))*(_xlfn.DROP(INDEX(角色MOD表[],MATCH($E7,角色MOD表[名称],0),),,MATCH("耐受",角色MOD表[#Headers],0))&lt;&gt;"")&lt;&gt;0),ROUNDUP(COLUMNS($L7:N7)/2,0))),_xlfn.LAMBDA(_xlpm.x,IFERROR(IF(ISNUMBER(MATCH($F7,{"百首","狮鹫","契约者"},0)),1+SUM(IFERROR(BUFF层数乘数*VLOOKUP(BUFF,BUFF表[],MATCH("MOD属性",BUFF表[#Headers],0),0),0)),1)*MIN(1,($J7+1)/IF($G7="金",11,IF($G7="绿",4,6)))*_xlpm.x,_xlpm.x))),"")</f>
        <v>0.85512</v>
      </c>
      <c r="P7" s="68" t="str" cm="1">
        <f t="array" ref="P7">IFERROR(INDEX(角色MOD表[#Headers],SMALL(_xlfn._xlws.FILTER(COLUMN(_xlfn.DROP(INDEX(角色MOD表[],MATCH($E7,角色MOD表[名称],0),),,MATCH("耐受",角色MOD表[#Headers],0)))*(_xlfn.DROP(INDEX(角色MOD表[],MATCH($E7,角色MOD表[名称],0),),,6)&lt;&gt;""),COLUMN(_xlfn.DROP(INDEX(角色MOD表[],MATCH($E7,角色MOD表[名称],0),),,MATCH("耐受",角色MOD表[#Headers],0)))*(_xlfn.DROP(INDEX(角色MOD表[],MATCH($E7,角色MOD表[名称],0),),,6)&lt;&gt;"")&lt;&gt;0),ROUNDUP(COLUMNS($L7:P7)/2,0))),"")</f>
        <v>防御</v>
      </c>
      <c r="Q7" s="78" cm="1">
        <f t="array" ref="Q7">IFERROR(_xlfn.MAP(INDEX(INDEX(角色MOD表[],MATCH($E7,角色MOD表[名称],0),),SMALL(_xlfn._xlws.FILTER(COLUMN(_xlfn.DROP(INDEX(角色MOD表[],MATCH($E7,角色MOD表[名称],0),),,MATCH("耐受",角色MOD表[#Headers],0)))*(_xlfn.DROP(INDEX(角色MOD表[],MATCH($E7,角色MOD表[名称],0),),,MATCH("耐受",角色MOD表[#Headers],0))&lt;&gt;""),COLUMN(_xlfn.DROP(INDEX(角色MOD表[],MATCH($E7,角色MOD表[名称],0),),,MATCH("耐受",角色MOD表[#Headers],0)))*(_xlfn.DROP(INDEX(角色MOD表[],MATCH($E7,角色MOD表[名称],0),),,MATCH("耐受",角色MOD表[#Headers],0))&lt;&gt;"")&lt;&gt;0),ROUNDUP(COLUMNS($L7:P7)/2,0))),_xlfn.LAMBDA(_xlpm.x,IFERROR(IF(ISNUMBER(MATCH($F7,{"百首","狮鹫","契约者"},0)),1+SUM(IFERROR(BUFF层数乘数*VLOOKUP(BUFF,BUFF表[],MATCH("MOD属性",BUFF表[#Headers],0),0),0)),1)*MIN(1,($J7+1)/IF($G7="金",11,IF($G7="绿",4,6)))*_xlpm.x,_xlpm.x))),"")</f>
        <v>0.85512</v>
      </c>
      <c r="R7" s="68" t="str" cm="1">
        <f t="array" ref="R7">IFERROR(INDEX(角色MOD表[#Headers],SMALL(_xlfn._xlws.FILTER(COLUMN(_xlfn.DROP(INDEX(角色MOD表[],MATCH($E7,角色MOD表[名称],0),),,MATCH("耐受",角色MOD表[#Headers],0)))*(_xlfn.DROP(INDEX(角色MOD表[],MATCH($E7,角色MOD表[名称],0),),,6)&lt;&gt;""),COLUMN(_xlfn.DROP(INDEX(角色MOD表[],MATCH($E7,角色MOD表[名称],0),),,MATCH("耐受",角色MOD表[#Headers],0)))*(_xlfn.DROP(INDEX(角色MOD表[],MATCH($E7,角色MOD表[名称],0),),,6)&lt;&gt;"")&lt;&gt;0),ROUNDUP(COLUMNS($L7:R7)/2,0))),"")</f>
        <v>背水</v>
      </c>
      <c r="S7" s="78" cm="1">
        <f t="array" ref="S7">IFERROR(_xlfn.MAP(INDEX(INDEX(角色MOD表[],MATCH($E7,角色MOD表[名称],0),),SMALL(_xlfn._xlws.FILTER(COLUMN(_xlfn.DROP(INDEX(角色MOD表[],MATCH($E7,角色MOD表[名称],0),),,MATCH("耐受",角色MOD表[#Headers],0)))*(_xlfn.DROP(INDEX(角色MOD表[],MATCH($E7,角色MOD表[名称],0),),,MATCH("耐受",角色MOD表[#Headers],0))&lt;&gt;""),COLUMN(_xlfn.DROP(INDEX(角色MOD表[],MATCH($E7,角色MOD表[名称],0),),,MATCH("耐受",角色MOD表[#Headers],0)))*(_xlfn.DROP(INDEX(角色MOD表[],MATCH($E7,角色MOD表[名称],0),),,MATCH("耐受",角色MOD表[#Headers],0))&lt;&gt;"")&lt;&gt;0),ROUNDUP(COLUMNS($L7:R7)/2,0))),_xlfn.LAMBDA(_xlpm.x,IFERROR(IF(ISNUMBER(MATCH($F7,{"百首","狮鹫","契约者"},0)),1+SUM(IFERROR(BUFF层数乘数*VLOOKUP(BUFF,BUFF表[],MATCH("MOD属性",BUFF表[#Headers],0),0),0)),1)*MIN(1,($J7+1)/IF($G7="金",11,IF($G7="绿",4,6)))*_xlpm.x,_xlpm.x))),"")</f>
        <v>0.06108</v>
      </c>
      <c r="T7" s="20" cm="1">
        <f t="array" ref="T7">X7*SUM(B$24*U7,B$26*V7,B$25*W7,B$27)*昂扬背水乘区(AB7,AC7)*SUM(1,AD7,AE7)*(1-敌方抗性+AF7)*(1+AG7)/IF($A$39="DPMP",ROUNDUP($B$30*(2-Z7),0),1)/IF($A$39="DPSMP",ROUNDUP($B$31*MAX(0.25,(2-Z7)/Y7),0),1)*防御乘区(AH7)</f>
        <v>777426.759668929</v>
      </c>
      <c r="U7" s="20" cm="1">
        <f t="array" ref="U7">删MOD取角色属性(U$6,ROWS($J$7:$J7))*(1+删MOD取角色属性("属性伤",ROWS($J$7:$J7)))</f>
        <v>5680.75765239008</v>
      </c>
      <c r="V7" s="20" cm="1">
        <f t="array" ref="V7">删MOD取角色属性(V$6,ROWS($J$7:$J7))</f>
        <v>2637</v>
      </c>
      <c r="W7" s="20" cm="1">
        <f t="array" ref="W7">删MOD取角色属性(W$6,ROWS($J$7:$J7))</f>
        <v>756</v>
      </c>
      <c r="X7" s="23" cm="1">
        <f t="array" ref="X7">删MOD取角色属性(X$6,ROWS($J$7:$J7))</f>
        <v>8.01554</v>
      </c>
      <c r="Y7" s="23" cm="1">
        <f t="array" ref="Y7">删MOD取角色属性(Y$6,ROWS($J$7:$J7))</f>
        <v>1.2</v>
      </c>
      <c r="Z7" s="23" cm="1">
        <f t="array" ref="Z7">删MOD取角色属性(Z$6,ROWS($J$7:$J7))</f>
        <v>0</v>
      </c>
      <c r="AA7" s="23" cm="1">
        <f t="array" ref="AA7">删MOD取角色属性(AA$6,ROWS($J$7:$J7))</f>
        <v>1.33594</v>
      </c>
      <c r="AB7" s="23" cm="1">
        <f t="array" ref="AB7">删MOD取角色属性(AB$6,ROWS($J$7:$J7))</f>
        <v>0</v>
      </c>
      <c r="AC7" s="23" cm="1">
        <f t="array" ref="AC7">删MOD取角色属性(AC$6,ROWS($J$7:$J7))</f>
        <v>0.769</v>
      </c>
      <c r="AD7" s="23" cm="1">
        <f t="array" ref="AD7">删MOD取角色属性(AD$6,ROWS($J$7:$J7))</f>
        <v>2.25</v>
      </c>
      <c r="AE7" s="23" cm="1">
        <f t="array" ref="AE7">删MOD取角色属性(AE$6,ROWS($J$7:$J7))</f>
        <v>0</v>
      </c>
      <c r="AF7" s="23" cm="1">
        <f t="array" ref="AF7">删MOD取角色属性(AF$6,ROWS($J$7:$J7))</f>
        <v>0.24</v>
      </c>
      <c r="AG7" s="23" cm="1">
        <f t="array" ref="AG7">删MOD取角色属性(AG$6,ROWS($J$7:$J7))</f>
        <v>0</v>
      </c>
      <c r="AH7" s="23" cm="1">
        <f t="array" ref="AH7">删MOD取角色属性(AH$6,ROWS($J$7:$J7))</f>
        <v>0</v>
      </c>
      <c r="AV7" t="str">
        <v>凛风·极昼</v>
      </c>
      <c r="AW7" t="str">
        <v>盛怒</v>
      </c>
      <c r="AX7" t="str">
        <v>盛怒</v>
      </c>
      <c r="AZ7" t="str">
        <v>腐草为萤(Q)</v>
      </c>
      <c r="BD7" t="s">
        <v>79</v>
      </c>
      <c r="BE7" t="s">
        <v>80</v>
      </c>
      <c r="BF7" t="s">
        <v>74</v>
      </c>
      <c r="BG7" t="s">
        <v>81</v>
      </c>
      <c r="BH7" t="s">
        <v>26</v>
      </c>
      <c r="BI7" t="s">
        <v>82</v>
      </c>
      <c r="BJ7">
        <v>6</v>
      </c>
      <c r="BK7">
        <v>7</v>
      </c>
      <c r="BM7">
        <v>6</v>
      </c>
      <c r="BN7">
        <v>7</v>
      </c>
      <c r="BT7">
        <v>6</v>
      </c>
      <c r="BU7">
        <v>6</v>
      </c>
      <c r="BV7">
        <v>6</v>
      </c>
      <c r="BX7">
        <v>6</v>
      </c>
    </row>
    <row r="8" spans="1:76">
      <c r="A8" s="68" t="s">
        <v>59</v>
      </c>
      <c r="B8" s="77" cm="1">
        <f t="array" ref="B8">VLOOKUP($B$3,角色表[],MATCH("基础"&amp;A8,角色表[#Headers],0),0)*IFERROR(INDEX({0.07967,0.2063,0.3021,0.4137,0.5291,0.6826,0.8136,1},,ROUNDUP($F$3/10,0)),1)</f>
        <v>879</v>
      </c>
      <c r="C8" s="77" cm="1">
        <f t="array" ref="C8">取角色总属性(A8)</f>
        <v>3388.65048</v>
      </c>
      <c r="D8" s="76">
        <f t="shared" si="0"/>
        <v>0.388469399823667</v>
      </c>
      <c r="E8" s="69" t="s">
        <v>83</v>
      </c>
      <c r="F8" s="93" t="str">
        <f>IFERROR(VLOOKUP($E8,角色MOD表[],MATCH(F$6,角色MOD表[#Headers],0),0),"")</f>
        <v>狮鹫</v>
      </c>
      <c r="G8" s="94" t="str">
        <f>IFERROR(VLOOKUP($E8,角色MOD表[],MATCH(G$6,角色MOD表[#Headers],0),0),"")</f>
        <v>金</v>
      </c>
      <c r="H8" s="93" t="str">
        <f>IFERROR(VLOOKUP($E8,角色MOD表[],MATCH(H$6,角色MOD表[#Headers],0),0),"")&amp;""</f>
        <v>V</v>
      </c>
      <c r="I8" s="93">
        <f>IF(AND(K8&lt;&gt;"",H8&lt;&gt;""),ROUNDUP(IF(H8=K8,IFERROR(VLOOKUP($E8,角色MOD表[],6,0)+$J8-IF($G8="金",10,IF($G8="绿",3,5)),0)/2,IFERROR(VLOOKUP($E8,角色MOD表[],6,0)+$J8-IF($G8="金",10,IF($G8="绿",3,5)),0)*1.5),0),IFERROR(VLOOKUP($E8,角色MOD表[],6,0)+$J8-IF($G8="金",10,IF($G8="绿",3,5)),0))</f>
        <v>25</v>
      </c>
      <c r="J8" s="106">
        <v>10</v>
      </c>
      <c r="K8" s="69"/>
      <c r="L8" s="68" t="str" cm="1">
        <f t="array" ref="L8">IFERROR(INDEX(角色MOD表[#Headers],SMALL(_xlfn._xlws.FILTER(COLUMN(_xlfn.DROP(INDEX(角色MOD表[],MATCH($E8,角色MOD表[名称],0),),,MATCH("耐受",角色MOD表[#Headers],0)))*(_xlfn.DROP(INDEX(角色MOD表[],MATCH($E8,角色MOD表[名称],0),),,6)&lt;&gt;""),COLUMN(_xlfn.DROP(INDEX(角色MOD表[],MATCH($E8,角色MOD表[名称],0),),,MATCH("耐受",角色MOD表[#Headers],0)))*(_xlfn.DROP(INDEX(角色MOD表[],MATCH($E8,角色MOD表[名称],0),),,6)&lt;&gt;"")&lt;&gt;0),ROUNDUP(COLUMNS($L8:L8)/2,0))),"")</f>
        <v>威力</v>
      </c>
      <c r="M8" s="78" cm="1">
        <f t="array" ref="M8">IFERROR(_xlfn.MAP(INDEX(INDEX(角色MOD表[],MATCH($E8,角色MOD表[名称],0),),SMALL(_xlfn._xlws.FILTER(COLUMN(_xlfn.DROP(INDEX(角色MOD表[],MATCH($E8,角色MOD表[名称],0),),,MATCH("耐受",角色MOD表[#Headers],0)))*(_xlfn.DROP(INDEX(角色MOD表[],MATCH($E8,角色MOD表[名称],0),),,MATCH("耐受",角色MOD表[#Headers],0))&lt;&gt;""),COLUMN(_xlfn.DROP(INDEX(角色MOD表[],MATCH($E8,角色MOD表[名称],0),),,MATCH("耐受",角色MOD表[#Headers],0)))*(_xlfn.DROP(INDEX(角色MOD表[],MATCH($E8,角色MOD表[名称],0),),,MATCH("耐受",角色MOD表[#Headers],0))&lt;&gt;"")&lt;&gt;0),ROUNDUP(COLUMNS($L8:L8)/2,0))),_xlfn.LAMBDA(_xlpm.x,IFERROR(IF(ISNUMBER(MATCH($F8,{"百首","狮鹫","契约者"},0)),1+SUM(IFERROR(BUFF层数乘数*VLOOKUP(BUFF,BUFF表[],MATCH("MOD属性",BUFF表[#Headers],0),0),0)),1)*MIN(1,($J8+1)/IF($G8="金",11,IF($G8="绿",4,6)))*_xlpm.x,_xlpm.x))),"")</f>
        <v>0.33594</v>
      </c>
      <c r="N8" s="68" t="str" cm="1">
        <f t="array" ref="N8">IFERROR(INDEX(角色MOD表[#Headers],SMALL(_xlfn._xlws.FILTER(COLUMN(_xlfn.DROP(INDEX(角色MOD表[],MATCH($E8,角色MOD表[名称],0),),,MATCH("耐受",角色MOD表[#Headers],0)))*(_xlfn.DROP(INDEX(角色MOD表[],MATCH($E8,角色MOD表[名称],0),),,6)&lt;&gt;""),COLUMN(_xlfn.DROP(INDEX(角色MOD表[],MATCH($E8,角色MOD表[名称],0),),,MATCH("耐受",角色MOD表[#Headers],0)))*(_xlfn.DROP(INDEX(角色MOD表[],MATCH($E8,角色MOD表[名称],0),),,6)&lt;&gt;"")&lt;&gt;0),ROUNDUP(COLUMNS($L8:N8)/2,0))),"")</f>
        <v>范围</v>
      </c>
      <c r="O8" s="78" cm="1">
        <f t="array" ref="O8">IFERROR(_xlfn.MAP(INDEX(INDEX(角色MOD表[],MATCH($E8,角色MOD表[名称],0),),SMALL(_xlfn._xlws.FILTER(COLUMN(_xlfn.DROP(INDEX(角色MOD表[],MATCH($E8,角色MOD表[名称],0),),,MATCH("耐受",角色MOD表[#Headers],0)))*(_xlfn.DROP(INDEX(角色MOD表[],MATCH($E8,角色MOD表[名称],0),),,MATCH("耐受",角色MOD表[#Headers],0))&lt;&gt;""),COLUMN(_xlfn.DROP(INDEX(角色MOD表[],MATCH($E8,角色MOD表[名称],0),),,MATCH("耐受",角色MOD表[#Headers],0)))*(_xlfn.DROP(INDEX(角色MOD表[],MATCH($E8,角色MOD表[名称],0),),,MATCH("耐受",角色MOD表[#Headers],0))&lt;&gt;"")&lt;&gt;0),ROUNDUP(COLUMNS($L8:N8)/2,0))),_xlfn.LAMBDA(_xlpm.x,IFERROR(IF(ISNUMBER(MATCH($F8,{"百首","狮鹫","契约者"},0)),1+SUM(IFERROR(BUFF层数乘数*VLOOKUP(BUFF,BUFF表[],MATCH("MOD属性",BUFF表[#Headers],0),0),0)),1)*MIN(1,($J8+1)/IF($G8="金",11,IF($G8="绿",4,6)))*_xlpm.x,_xlpm.x))),"")</f>
        <v>0.33594</v>
      </c>
      <c r="P8" s="68" t="str" cm="1">
        <f t="array" ref="P8">IFERROR(INDEX(角色MOD表[#Headers],SMALL(_xlfn._xlws.FILTER(COLUMN(_xlfn.DROP(INDEX(角色MOD表[],MATCH($E8,角色MOD表[名称],0),),,MATCH("耐受",角色MOD表[#Headers],0)))*(_xlfn.DROP(INDEX(角色MOD表[],MATCH($E8,角色MOD表[名称],0),),,6)&lt;&gt;""),COLUMN(_xlfn.DROP(INDEX(角色MOD表[],MATCH($E8,角色MOD表[名称],0),),,MATCH("耐受",角色MOD表[#Headers],0)))*(_xlfn.DROP(INDEX(角色MOD表[],MATCH($E8,角色MOD表[名称],0),),,6)&lt;&gt;"")&lt;&gt;0),ROUNDUP(COLUMNS($L8:P8)/2,0))),"")</f>
        <v>属性伤</v>
      </c>
      <c r="Q8" s="78" cm="1">
        <f t="array" ref="Q8">IFERROR(_xlfn.MAP(INDEX(INDEX(角色MOD表[],MATCH($E8,角色MOD表[名称],0),),SMALL(_xlfn._xlws.FILTER(COLUMN(_xlfn.DROP(INDEX(角色MOD表[],MATCH($E8,角色MOD表[名称],0),),,MATCH("耐受",角色MOD表[#Headers],0)))*(_xlfn.DROP(INDEX(角色MOD表[],MATCH($E8,角色MOD表[名称],0),),,MATCH("耐受",角色MOD表[#Headers],0))&lt;&gt;""),COLUMN(_xlfn.DROP(INDEX(角色MOD表[],MATCH($E8,角色MOD表[名称],0),),,MATCH("耐受",角色MOD表[#Headers],0)))*(_xlfn.DROP(INDEX(角色MOD表[],MATCH($E8,角色MOD表[名称],0),),,MATCH("耐受",角色MOD表[#Headers],0))&lt;&gt;"")&lt;&gt;0),ROUNDUP(COLUMNS($L8:P8)/2,0))),_xlfn.LAMBDA(_xlpm.x,IFERROR(IF(ISNUMBER(MATCH($F8,{"百首","狮鹫","契约者"},0)),1+SUM(IFERROR(BUFF层数乘数*VLOOKUP(BUFF,BUFF表[],MATCH("MOD属性",BUFF表[#Headers],0),0),0)),1)*MIN(1,($J8+1)/IF($G8="金",11,IF($G8="绿",4,6)))*_xlpm.x,_xlpm.x))),"")</f>
        <v>0.33594</v>
      </c>
      <c r="R8" s="68" t="str" cm="1">
        <f t="array" ref="R8">IFERROR(INDEX(角色MOD表[#Headers],SMALL(_xlfn._xlws.FILTER(COLUMN(_xlfn.DROP(INDEX(角色MOD表[],MATCH($E8,角色MOD表[名称],0),),,MATCH("耐受",角色MOD表[#Headers],0)))*(_xlfn.DROP(INDEX(角色MOD表[],MATCH($E8,角色MOD表[名称],0),),,6)&lt;&gt;""),COLUMN(_xlfn.DROP(INDEX(角色MOD表[],MATCH($E8,角色MOD表[名称],0),),,MATCH("耐受",角色MOD表[#Headers],0)))*(_xlfn.DROP(INDEX(角色MOD表[],MATCH($E8,角色MOD表[名称],0),),,6)&lt;&gt;"")&lt;&gt;0),ROUNDUP(COLUMNS($L8:R8)/2,0))),"")</f>
        <v/>
      </c>
      <c r="S8" s="78" t="str" cm="1">
        <f t="array" ref="S8">IFERROR(_xlfn.MAP(INDEX(INDEX(角色MOD表[],MATCH($E8,角色MOD表[名称],0),),SMALL(_xlfn._xlws.FILTER(COLUMN(_xlfn.DROP(INDEX(角色MOD表[],MATCH($E8,角色MOD表[名称],0),),,MATCH("耐受",角色MOD表[#Headers],0)))*(_xlfn.DROP(INDEX(角色MOD表[],MATCH($E8,角色MOD表[名称],0),),,MATCH("耐受",角色MOD表[#Headers],0))&lt;&gt;""),COLUMN(_xlfn.DROP(INDEX(角色MOD表[],MATCH($E8,角色MOD表[名称],0),),,MATCH("耐受",角色MOD表[#Headers],0)))*(_xlfn.DROP(INDEX(角色MOD表[],MATCH($E8,角色MOD表[名称],0),),,MATCH("耐受",角色MOD表[#Headers],0))&lt;&gt;"")&lt;&gt;0),ROUNDUP(COLUMNS($L8:R8)/2,0))),_xlfn.LAMBDA(_xlpm.x,IFERROR(IF(ISNUMBER(MATCH($F8,{"百首","狮鹫","契约者"},0)),1+SUM(IFERROR(BUFF层数乘数*VLOOKUP(BUFF,BUFF表[],MATCH("MOD属性",BUFF表[#Headers],0),0),0)),1)*MIN(1,($J8+1)/IF($G8="金",11,IF($G8="绿",4,6)))*_xlpm.x,_xlpm.x))),"")</f>
        <v/>
      </c>
      <c r="T8" s="20" cm="1">
        <f t="array" ref="T8">X8*SUM(B$24*U8,B$26*V8,B$25*W8,B$27)*昂扬背水乘区(AB8,AC8)*SUM(1,AD8,AE8)*(1-敌方抗性+AF8)*(1+AG8)/IF($A$39="DPMP",ROUNDUP($B$30*(2-Z8),0),1)/IF($A$39="DPSMP",ROUNDUP($B$31*MAX(0.25,(2-Z8)/Y8),0),1)*防御乘区(AH8)</f>
        <v>636351.657270872</v>
      </c>
      <c r="U8" s="20" cm="1">
        <f t="array" ref="U8">删MOD取角色属性(U$6,ROWS($J$7:$J8))*(1+删MOD取角色属性("属性伤",ROWS($J$7:$J8)))</f>
        <v>4583.020686416</v>
      </c>
      <c r="V8" s="20" cm="1">
        <f t="array" ref="V8">删MOD取角色属性(V$6,ROWS($J$7:$J8))</f>
        <v>3388.65048</v>
      </c>
      <c r="W8" s="20" cm="1">
        <f t="array" ref="W8">删MOD取角色属性(W$6,ROWS($J$7:$J8))</f>
        <v>971.49024</v>
      </c>
      <c r="X8" s="23" cm="1">
        <f t="array" ref="X8">删MOD取角色属性(X$6,ROWS($J$7:$J8))</f>
        <v>7.6796</v>
      </c>
      <c r="Y8" s="23" cm="1">
        <f t="array" ref="Y8">删MOD取角色属性(Y$6,ROWS($J$7:$J8))</f>
        <v>1.2</v>
      </c>
      <c r="Z8" s="23" cm="1">
        <f t="array" ref="Z8">删MOD取角色属性(Z$6,ROWS($J$7:$J8))</f>
        <v>0</v>
      </c>
      <c r="AA8" s="23" cm="1">
        <f t="array" ref="AA8">删MOD取角色属性(AA$6,ROWS($J$7:$J8))</f>
        <v>1</v>
      </c>
      <c r="AB8" s="23" cm="1">
        <f t="array" ref="AB8">删MOD取角色属性(AB$6,ROWS($J$7:$J8))</f>
        <v>0</v>
      </c>
      <c r="AC8" s="23" cm="1">
        <f t="array" ref="AC8">删MOD取角色属性(AC$6,ROWS($J$7:$J8))</f>
        <v>0.83008</v>
      </c>
      <c r="AD8" s="23" cm="1">
        <f t="array" ref="AD8">删MOD取角色属性(AD$6,ROWS($J$7:$J8))</f>
        <v>2.25</v>
      </c>
      <c r="AE8" s="23" cm="1">
        <f t="array" ref="AE8">删MOD取角色属性(AE$6,ROWS($J$7:$J8))</f>
        <v>0</v>
      </c>
      <c r="AF8" s="23" cm="1">
        <f t="array" ref="AF8">删MOD取角色属性(AF$6,ROWS($J$7:$J8))</f>
        <v>0.24</v>
      </c>
      <c r="AG8" s="23" cm="1">
        <f t="array" ref="AG8">删MOD取角色属性(AG$6,ROWS($J$7:$J8))</f>
        <v>0</v>
      </c>
      <c r="AH8" s="23" cm="1">
        <f t="array" ref="AH8">删MOD取角色属性(AH$6,ROWS($J$7:$J8))</f>
        <v>0</v>
      </c>
      <c r="AV8" t="str">
        <v>凛风·燎原</v>
      </c>
      <c r="AW8" t="str">
        <v>缠缚</v>
      </c>
      <c r="AX8" t="str">
        <v>缠缚</v>
      </c>
      <c r="BJ8">
        <v>7</v>
      </c>
      <c r="BK8">
        <v>8</v>
      </c>
      <c r="BM8">
        <v>7</v>
      </c>
      <c r="BN8">
        <v>8</v>
      </c>
      <c r="BT8">
        <v>7</v>
      </c>
      <c r="BU8">
        <v>7</v>
      </c>
      <c r="BV8">
        <v>7</v>
      </c>
      <c r="BX8">
        <v>7</v>
      </c>
    </row>
    <row r="9" spans="1:76">
      <c r="A9" s="68" t="s">
        <v>84</v>
      </c>
      <c r="B9" s="77" cm="1">
        <f t="array" ref="B9">VLOOKUP($B$3,角色表[],MATCH("基础"&amp;A9,角色表[#Headers],0),0)*IFERROR(INDEX({0.07967,0.2063,0.3021,0.4137,0.5291,0.6826,0.8136,1},,ROUNDUP($F$3/10,0)),1)</f>
        <v>1757</v>
      </c>
      <c r="C9" s="77" cm="1">
        <f t="array" ref="C9">取角色总属性(A9)</f>
        <v>5271</v>
      </c>
      <c r="D9" s="76">
        <f t="shared" si="0"/>
        <v>0.362670955797926</v>
      </c>
      <c r="E9" s="69" t="s">
        <v>44</v>
      </c>
      <c r="F9" s="93" t="str">
        <f>IFERROR(VLOOKUP($E9,角色MOD表[],MATCH(F$6,角色MOD表[#Headers],0),0),"")</f>
        <v/>
      </c>
      <c r="G9" s="94" t="str">
        <f>IFERROR(VLOOKUP($E9,角色MOD表[],MATCH(G$6,角色MOD表[#Headers],0),0),"")</f>
        <v/>
      </c>
      <c r="H9" s="93" t="str">
        <f>IFERROR(VLOOKUP($E9,角色MOD表[],MATCH(H$6,角色MOD表[#Headers],0),0),"")&amp;""</f>
        <v/>
      </c>
      <c r="I9" s="93">
        <f>IF(AND(K9&lt;&gt;"",H9&lt;&gt;""),ROUNDUP(IF(H9=K9,IFERROR(VLOOKUP($E9,角色MOD表[],6,0)+$J9-IF($G9="金",10,IF($G9="绿",3,5)),0)/2,IFERROR(VLOOKUP($E9,角色MOD表[],6,0)+$J9-IF($G9="金",10,IF($G9="绿",3,5)),0)*1.5),0),IFERROR(VLOOKUP($E9,角色MOD表[],6,0)+$J9-IF($G9="金",10,IF($G9="绿",3,5)),0))</f>
        <v>0</v>
      </c>
      <c r="J9" s="106">
        <v>10</v>
      </c>
      <c r="K9" s="69"/>
      <c r="L9" s="68" t="str" cm="1">
        <f t="array" ref="L9">IFERROR(INDEX(角色MOD表[#Headers],SMALL(_xlfn._xlws.FILTER(COLUMN(_xlfn.DROP(INDEX(角色MOD表[],MATCH($E9,角色MOD表[名称],0),),,MATCH("耐受",角色MOD表[#Headers],0)))*(_xlfn.DROP(INDEX(角色MOD表[],MATCH($E9,角色MOD表[名称],0),),,6)&lt;&gt;""),COLUMN(_xlfn.DROP(INDEX(角色MOD表[],MATCH($E9,角色MOD表[名称],0),),,MATCH("耐受",角色MOD表[#Headers],0)))*(_xlfn.DROP(INDEX(角色MOD表[],MATCH($E9,角色MOD表[名称],0),),,6)&lt;&gt;"")&lt;&gt;0),ROUNDUP(COLUMNS($L9:L9)/2,0))),"")</f>
        <v/>
      </c>
      <c r="M9" s="78" t="str" cm="1">
        <f t="array" ref="M9">IFERROR(_xlfn.MAP(INDEX(INDEX(角色MOD表[],MATCH($E9,角色MOD表[名称],0),),SMALL(_xlfn._xlws.FILTER(COLUMN(_xlfn.DROP(INDEX(角色MOD表[],MATCH($E9,角色MOD表[名称],0),),,MATCH("耐受",角色MOD表[#Headers],0)))*(_xlfn.DROP(INDEX(角色MOD表[],MATCH($E9,角色MOD表[名称],0),),,MATCH("耐受",角色MOD表[#Headers],0))&lt;&gt;""),COLUMN(_xlfn.DROP(INDEX(角色MOD表[],MATCH($E9,角色MOD表[名称],0),),,MATCH("耐受",角色MOD表[#Headers],0)))*(_xlfn.DROP(INDEX(角色MOD表[],MATCH($E9,角色MOD表[名称],0),),,MATCH("耐受",角色MOD表[#Headers],0))&lt;&gt;"")&lt;&gt;0),ROUNDUP(COLUMNS($L9:L9)/2,0))),_xlfn.LAMBDA(_xlpm.x,IFERROR(IF(ISNUMBER(MATCH($F9,{"百首","狮鹫","契约者"},0)),1+SUM(IFERROR(BUFF层数乘数*VLOOKUP(BUFF,BUFF表[],MATCH("MOD属性",BUFF表[#Headers],0),0),0)),1)*MIN(1,($J9+1)/IF($G9="金",11,IF($G9="绿",4,6)))*_xlpm.x,_xlpm.x))),"")</f>
        <v/>
      </c>
      <c r="N9" s="68" t="str" cm="1">
        <f t="array" ref="N9">IFERROR(INDEX(角色MOD表[#Headers],SMALL(_xlfn._xlws.FILTER(COLUMN(_xlfn.DROP(INDEX(角色MOD表[],MATCH($E9,角色MOD表[名称],0),),,MATCH("耐受",角色MOD表[#Headers],0)))*(_xlfn.DROP(INDEX(角色MOD表[],MATCH($E9,角色MOD表[名称],0),),,6)&lt;&gt;""),COLUMN(_xlfn.DROP(INDEX(角色MOD表[],MATCH($E9,角色MOD表[名称],0),),,MATCH("耐受",角色MOD表[#Headers],0)))*(_xlfn.DROP(INDEX(角色MOD表[],MATCH($E9,角色MOD表[名称],0),),,6)&lt;&gt;"")&lt;&gt;0),ROUNDUP(COLUMNS($L9:N9)/2,0))),"")</f>
        <v/>
      </c>
      <c r="O9" s="78" t="str" cm="1">
        <f t="array" ref="O9">IFERROR(_xlfn.MAP(INDEX(INDEX(角色MOD表[],MATCH($E9,角色MOD表[名称],0),),SMALL(_xlfn._xlws.FILTER(COLUMN(_xlfn.DROP(INDEX(角色MOD表[],MATCH($E9,角色MOD表[名称],0),),,MATCH("耐受",角色MOD表[#Headers],0)))*(_xlfn.DROP(INDEX(角色MOD表[],MATCH($E9,角色MOD表[名称],0),),,MATCH("耐受",角色MOD表[#Headers],0))&lt;&gt;""),COLUMN(_xlfn.DROP(INDEX(角色MOD表[],MATCH($E9,角色MOD表[名称],0),),,MATCH("耐受",角色MOD表[#Headers],0)))*(_xlfn.DROP(INDEX(角色MOD表[],MATCH($E9,角色MOD表[名称],0),),,MATCH("耐受",角色MOD表[#Headers],0))&lt;&gt;"")&lt;&gt;0),ROUNDUP(COLUMNS($L9:N9)/2,0))),_xlfn.LAMBDA(_xlpm.x,IFERROR(IF(ISNUMBER(MATCH($F9,{"百首","狮鹫","契约者"},0)),1+SUM(IFERROR(BUFF层数乘数*VLOOKUP(BUFF,BUFF表[],MATCH("MOD属性",BUFF表[#Headers],0),0),0)),1)*MIN(1,($J9+1)/IF($G9="金",11,IF($G9="绿",4,6)))*_xlpm.x,_xlpm.x))),"")</f>
        <v/>
      </c>
      <c r="P9" s="68" t="str" cm="1">
        <f t="array" ref="P9">IFERROR(INDEX(角色MOD表[#Headers],SMALL(_xlfn._xlws.FILTER(COLUMN(_xlfn.DROP(INDEX(角色MOD表[],MATCH($E9,角色MOD表[名称],0),),,MATCH("耐受",角色MOD表[#Headers],0)))*(_xlfn.DROP(INDEX(角色MOD表[],MATCH($E9,角色MOD表[名称],0),),,6)&lt;&gt;""),COLUMN(_xlfn.DROP(INDEX(角色MOD表[],MATCH($E9,角色MOD表[名称],0),),,MATCH("耐受",角色MOD表[#Headers],0)))*(_xlfn.DROP(INDEX(角色MOD表[],MATCH($E9,角色MOD表[名称],0),),,6)&lt;&gt;"")&lt;&gt;0),ROUNDUP(COLUMNS($L9:P9)/2,0))),"")</f>
        <v/>
      </c>
      <c r="Q9" s="78" t="str" cm="1">
        <f t="array" ref="Q9">IFERROR(_xlfn.MAP(INDEX(INDEX(角色MOD表[],MATCH($E9,角色MOD表[名称],0),),SMALL(_xlfn._xlws.FILTER(COLUMN(_xlfn.DROP(INDEX(角色MOD表[],MATCH($E9,角色MOD表[名称],0),),,MATCH("耐受",角色MOD表[#Headers],0)))*(_xlfn.DROP(INDEX(角色MOD表[],MATCH($E9,角色MOD表[名称],0),),,MATCH("耐受",角色MOD表[#Headers],0))&lt;&gt;""),COLUMN(_xlfn.DROP(INDEX(角色MOD表[],MATCH($E9,角色MOD表[名称],0),),,MATCH("耐受",角色MOD表[#Headers],0)))*(_xlfn.DROP(INDEX(角色MOD表[],MATCH($E9,角色MOD表[名称],0),),,MATCH("耐受",角色MOD表[#Headers],0))&lt;&gt;"")&lt;&gt;0),ROUNDUP(COLUMNS($L9:P9)/2,0))),_xlfn.LAMBDA(_xlpm.x,IFERROR(IF(ISNUMBER(MATCH($F9,{"百首","狮鹫","契约者"},0)),1+SUM(IFERROR(BUFF层数乘数*VLOOKUP(BUFF,BUFF表[],MATCH("MOD属性",BUFF表[#Headers],0),0),0)),1)*MIN(1,($J9+1)/IF($G9="金",11,IF($G9="绿",4,6)))*_xlpm.x,_xlpm.x))),"")</f>
        <v/>
      </c>
      <c r="R9" s="68" t="str" cm="1">
        <f t="array" ref="R9">IFERROR(INDEX(角色MOD表[#Headers],SMALL(_xlfn._xlws.FILTER(COLUMN(_xlfn.DROP(INDEX(角色MOD表[],MATCH($E9,角色MOD表[名称],0),),,MATCH("耐受",角色MOD表[#Headers],0)))*(_xlfn.DROP(INDEX(角色MOD表[],MATCH($E9,角色MOD表[名称],0),),,6)&lt;&gt;""),COLUMN(_xlfn.DROP(INDEX(角色MOD表[],MATCH($E9,角色MOD表[名称],0),),,MATCH("耐受",角色MOD表[#Headers],0)))*(_xlfn.DROP(INDEX(角色MOD表[],MATCH($E9,角色MOD表[名称],0),),,6)&lt;&gt;"")&lt;&gt;0),ROUNDUP(COLUMNS($L9:R9)/2,0))),"")</f>
        <v/>
      </c>
      <c r="S9" s="78" t="str" cm="1">
        <f t="array" ref="S9">IFERROR(_xlfn.MAP(INDEX(INDEX(角色MOD表[],MATCH($E9,角色MOD表[名称],0),),SMALL(_xlfn._xlws.FILTER(COLUMN(_xlfn.DROP(INDEX(角色MOD表[],MATCH($E9,角色MOD表[名称],0),),,MATCH("耐受",角色MOD表[#Headers],0)))*(_xlfn.DROP(INDEX(角色MOD表[],MATCH($E9,角色MOD表[名称],0),),,MATCH("耐受",角色MOD表[#Headers],0))&lt;&gt;""),COLUMN(_xlfn.DROP(INDEX(角色MOD表[],MATCH($E9,角色MOD表[名称],0),),,MATCH("耐受",角色MOD表[#Headers],0)))*(_xlfn.DROP(INDEX(角色MOD表[],MATCH($E9,角色MOD表[名称],0),),,MATCH("耐受",角色MOD表[#Headers],0))&lt;&gt;"")&lt;&gt;0),ROUNDUP(COLUMNS($L9:R9)/2,0))),_xlfn.LAMBDA(_xlpm.x,IFERROR(IF(ISNUMBER(MATCH($F9,{"百首","狮鹫","契约者"},0)),1+SUM(IFERROR(BUFF层数乘数*VLOOKUP(BUFF,BUFF表[],MATCH("MOD属性",BUFF表[#Headers],0),0),0)),1)*MIN(1,($J9+1)/IF($G9="金",11,IF($G9="绿",4,6)))*_xlpm.x,_xlpm.x))),"")</f>
        <v/>
      </c>
      <c r="T9" s="20" cm="1">
        <f t="array" ref="T9">X9*SUM(B$24*U9,B$26*V9,B$25*W9,B$27)*昂扬背水乘区(AB9,AC9)*SUM(1,AD9,AE9)*(1-敌方抗性+AF9)*(1+AG9)/IF($A$39="DPMP",ROUNDUP($B$30*(2-Z9),0),1)/IF($A$39="DPSMP",ROUNDUP($B$31*MAX(0.25,(2-Z9)/Y9),0),1)*防御乘区(AH9)</f>
        <v>648399.233790309</v>
      </c>
      <c r="U9" s="20" cm="1">
        <f t="array" ref="U9">删MOD取角色属性(U$6,ROWS($J$7:$J9))*(1+删MOD取角色属性("属性伤",ROWS($J$7:$J9)))</f>
        <v>6052.12371064748</v>
      </c>
      <c r="V9" s="20" cm="1">
        <f t="array" ref="V9">删MOD取角色属性(V$6,ROWS($J$7:$J9))</f>
        <v>3388.65048</v>
      </c>
      <c r="W9" s="20" cm="1">
        <f t="array" ref="W9">删MOD取角色属性(W$6,ROWS($J$7:$J9))</f>
        <v>971.49024</v>
      </c>
      <c r="X9" s="23" cm="1">
        <f t="array" ref="X9">删MOD取角色属性(X$6,ROWS($J$7:$J9))</f>
        <v>5.92554</v>
      </c>
      <c r="Y9" s="23" cm="1">
        <f t="array" ref="Y9">删MOD取角色属性(Y$6,ROWS($J$7:$J9))</f>
        <v>1.2</v>
      </c>
      <c r="Z9" s="23" cm="1">
        <f t="array" ref="Z9">删MOD取角色属性(Z$6,ROWS($J$7:$J9))</f>
        <v>0</v>
      </c>
      <c r="AA9" s="23" cm="1">
        <f t="array" ref="AA9">删MOD取角色属性(AA$6,ROWS($J$7:$J9))</f>
        <v>1.33594</v>
      </c>
      <c r="AB9" s="23" cm="1">
        <f t="array" ref="AB9">删MOD取角色属性(AB$6,ROWS($J$7:$J9))</f>
        <v>0</v>
      </c>
      <c r="AC9" s="23" cm="1">
        <f t="array" ref="AC9">删MOD取角色属性(AC$6,ROWS($J$7:$J9))</f>
        <v>0.83008</v>
      </c>
      <c r="AD9" s="23" cm="1">
        <f t="array" ref="AD9">删MOD取角色属性(AD$6,ROWS($J$7:$J9))</f>
        <v>2.25</v>
      </c>
      <c r="AE9" s="23" cm="1">
        <f t="array" ref="AE9">删MOD取角色属性(AE$6,ROWS($J$7:$J9))</f>
        <v>0</v>
      </c>
      <c r="AF9" s="23" cm="1">
        <f t="array" ref="AF9">删MOD取角色属性(AF$6,ROWS($J$7:$J9))</f>
        <v>0.24</v>
      </c>
      <c r="AG9" s="23" cm="1">
        <f t="array" ref="AG9">删MOD取角色属性(AG$6,ROWS($J$7:$J9))</f>
        <v>0</v>
      </c>
      <c r="AH9" s="23" cm="1">
        <f t="array" ref="AH9">删MOD取角色属性(AH$6,ROWS($J$7:$J9))</f>
        <v>0</v>
      </c>
      <c r="AV9" t="str">
        <v>全盛·昂扬</v>
      </c>
      <c r="AW9" t="str">
        <v>攻势·专注</v>
      </c>
      <c r="AX9" t="str">
        <v>攻势·专注</v>
      </c>
      <c r="BJ9">
        <v>8</v>
      </c>
      <c r="BK9">
        <v>9</v>
      </c>
      <c r="BM9">
        <v>8</v>
      </c>
      <c r="BN9">
        <v>9</v>
      </c>
      <c r="BT9">
        <v>8</v>
      </c>
      <c r="BU9">
        <v>8</v>
      </c>
      <c r="BV9">
        <v>8</v>
      </c>
      <c r="BX9">
        <v>8</v>
      </c>
    </row>
    <row r="10" spans="1:76">
      <c r="A10" s="68" t="s">
        <v>60</v>
      </c>
      <c r="B10" s="77" cm="1">
        <f t="array" ref="B10">VLOOKUP($B$3,角色表[],MATCH("基础"&amp;A10,角色表[#Headers],0),0)*IFERROR(INDEX({0.07967,0.2063,0.3021,0.4137,0.5291,0.6826,0.8136,1},,ROUNDUP($F$3/10,0)),1)</f>
        <v>252</v>
      </c>
      <c r="C10" s="77" cm="1">
        <f t="array" ref="C10">取角色总属性(A10)</f>
        <v>948.402</v>
      </c>
      <c r="D10" s="76">
        <f t="shared" si="0"/>
        <v>0.14976834378049</v>
      </c>
      <c r="E10" s="69" t="s">
        <v>12</v>
      </c>
      <c r="F10" s="93" t="str">
        <f>IFERROR(VLOOKUP($E10,角色MOD表[],MATCH(F$6,角色MOD表[#Headers],0),0),"")</f>
        <v>契约者</v>
      </c>
      <c r="G10" s="94" t="str">
        <f>IFERROR(VLOOKUP($E10,角色MOD表[],MATCH(G$6,角色MOD表[#Headers],0),0),"")</f>
        <v>金</v>
      </c>
      <c r="H10" s="93" t="str">
        <f>IFERROR(VLOOKUP($E10,角色MOD表[],MATCH(H$6,角色MOD表[#Headers],0),0),"")&amp;""</f>
        <v>V</v>
      </c>
      <c r="I10" s="93">
        <f>IF(AND(K10&lt;&gt;"",H10&lt;&gt;""),ROUNDUP(IF(H10=K10,IFERROR(VLOOKUP($E10,角色MOD表[],6,0)+$J10-IF($G10="金",10,IF($G10="绿",3,5)),0)/2,IFERROR(VLOOKUP($E10,角色MOD表[],6,0)+$J10-IF($G10="金",10,IF($G10="绿",3,5)),0)*1.5),0),IFERROR(VLOOKUP($E10,角色MOD表[],6,0)+$J10-IF($G10="金",10,IF($G10="绿",3,5)),0))</f>
        <v>20</v>
      </c>
      <c r="J10" s="106">
        <v>10</v>
      </c>
      <c r="K10" s="69"/>
      <c r="L10" s="68" t="str" cm="1">
        <f t="array" ref="L10">IFERROR(INDEX(角色MOD表[#Headers],SMALL(_xlfn._xlws.FILTER(COLUMN(_xlfn.DROP(INDEX(角色MOD表[],MATCH($E10,角色MOD表[名称],0),),,MATCH("耐受",角色MOD表[#Headers],0)))*(_xlfn.DROP(INDEX(角色MOD表[],MATCH($E10,角色MOD表[名称],0),),,6)&lt;&gt;""),COLUMN(_xlfn.DROP(INDEX(角色MOD表[],MATCH($E10,角色MOD表[名称],0),),,MATCH("耐受",角色MOD表[#Headers],0)))*(_xlfn.DROP(INDEX(角色MOD表[],MATCH($E10,角色MOD表[名称],0),),,6)&lt;&gt;"")&lt;&gt;0),ROUNDUP(COLUMNS($L10:L10)/2,0))),"")</f>
        <v>威力</v>
      </c>
      <c r="M10" s="78" cm="1">
        <f t="array" ref="M10">IFERROR(_xlfn.MAP(INDEX(INDEX(角色MOD表[],MATCH($E10,角色MOD表[名称],0),),SMALL(_xlfn._xlws.FILTER(COLUMN(_xlfn.DROP(INDEX(角色MOD表[],MATCH($E10,角色MOD表[名称],0),),,MATCH("耐受",角色MOD表[#Headers],0)))*(_xlfn.DROP(INDEX(角色MOD表[],MATCH($E10,角色MOD表[名称],0),),,MATCH("耐受",角色MOD表[#Headers],0))&lt;&gt;""),COLUMN(_xlfn.DROP(INDEX(角色MOD表[],MATCH($E10,角色MOD表[名称],0),),,MATCH("耐受",角色MOD表[#Headers],0)))*(_xlfn.DROP(INDEX(角色MOD表[],MATCH($E10,角色MOD表[名称],0),),,MATCH("耐受",角色MOD表[#Headers],0))&lt;&gt;"")&lt;&gt;0),ROUNDUP(COLUMNS($L10:L10)/2,0))),_xlfn.LAMBDA(_xlpm.x,IFERROR(IF(ISNUMBER(MATCH($F10,{"百首","狮鹫","契约者"},0)),1+SUM(IFERROR(BUFF层数乘数*VLOOKUP(BUFF,BUFF表[],MATCH("MOD属性",BUFF表[#Headers],0),0),0)),1)*MIN(1,($J10+1)/IF($G10="金",11,IF($G10="绿",4,6)))*_xlpm.x,_xlpm.x))),"")</f>
        <v>0.44792</v>
      </c>
      <c r="N10" s="68" t="str" cm="1">
        <f t="array" ref="N10">IFERROR(INDEX(角色MOD表[#Headers],SMALL(_xlfn._xlws.FILTER(COLUMN(_xlfn.DROP(INDEX(角色MOD表[],MATCH($E10,角色MOD表[名称],0),),,MATCH("耐受",角色MOD表[#Headers],0)))*(_xlfn.DROP(INDEX(角色MOD表[],MATCH($E10,角色MOD表[名称],0),),,6)&lt;&gt;""),COLUMN(_xlfn.DROP(INDEX(角色MOD表[],MATCH($E10,角色MOD表[名称],0),),,MATCH("耐受",角色MOD表[#Headers],0)))*(_xlfn.DROP(INDEX(角色MOD表[],MATCH($E10,角色MOD表[名称],0),),,6)&lt;&gt;"")&lt;&gt;0),ROUNDUP(COLUMNS($L10:N10)/2,0))),"")</f>
        <v>攻击</v>
      </c>
      <c r="O10" s="78" cm="1">
        <f t="array" ref="O10">IFERROR(_xlfn.MAP(INDEX(INDEX(角色MOD表[],MATCH($E10,角色MOD表[名称],0),),SMALL(_xlfn._xlws.FILTER(COLUMN(_xlfn.DROP(INDEX(角色MOD表[],MATCH($E10,角色MOD表[名称],0),),,MATCH("耐受",角色MOD表[#Headers],0)))*(_xlfn.DROP(INDEX(角色MOD表[],MATCH($E10,角色MOD表[名称],0),),,MATCH("耐受",角色MOD表[#Headers],0))&lt;&gt;""),COLUMN(_xlfn.DROP(INDEX(角色MOD表[],MATCH($E10,角色MOD表[名称],0),),,MATCH("耐受",角色MOD表[#Headers],0)))*(_xlfn.DROP(INDEX(角色MOD表[],MATCH($E10,角色MOD表[名称],0),),,MATCH("耐受",角色MOD表[#Headers],0))&lt;&gt;"")&lt;&gt;0),ROUNDUP(COLUMNS($L10:N10)/2,0))),_xlfn.LAMBDA(_xlpm.x,IFERROR(IF(ISNUMBER(MATCH($F10,{"百首","狮鹫","契约者"},0)),1+SUM(IFERROR(BUFF层数乘数*VLOOKUP(BUFF,BUFF表[],MATCH("MOD属性",BUFF表[#Headers],0),0),0)),1)*MIN(1,($J10+1)/IF($G10="金",11,IF($G10="绿",4,6)))*_xlpm.x,_xlpm.x))),"")</f>
        <v>0.89584</v>
      </c>
      <c r="P10" s="68" t="str" cm="1">
        <f t="array" ref="P10">IFERROR(INDEX(角色MOD表[#Headers],SMALL(_xlfn._xlws.FILTER(COLUMN(_xlfn.DROP(INDEX(角色MOD表[],MATCH($E10,角色MOD表[名称],0),),,MATCH("耐受",角色MOD表[#Headers],0)))*(_xlfn.DROP(INDEX(角色MOD表[],MATCH($E10,角色MOD表[名称],0),),,6)&lt;&gt;""),COLUMN(_xlfn.DROP(INDEX(角色MOD表[],MATCH($E10,角色MOD表[名称],0),),,MATCH("耐受",角色MOD表[#Headers],0)))*(_xlfn.DROP(INDEX(角色MOD表[],MATCH($E10,角色MOD表[名称],0),),,6)&lt;&gt;"")&lt;&gt;0),ROUNDUP(COLUMNS($L10:P10)/2,0))),"")</f>
        <v/>
      </c>
      <c r="Q10" s="78" t="str" cm="1">
        <f t="array" ref="Q10">IFERROR(_xlfn.MAP(INDEX(INDEX(角色MOD表[],MATCH($E10,角色MOD表[名称],0),),SMALL(_xlfn._xlws.FILTER(COLUMN(_xlfn.DROP(INDEX(角色MOD表[],MATCH($E10,角色MOD表[名称],0),),,MATCH("耐受",角色MOD表[#Headers],0)))*(_xlfn.DROP(INDEX(角色MOD表[],MATCH($E10,角色MOD表[名称],0),),,MATCH("耐受",角色MOD表[#Headers],0))&lt;&gt;""),COLUMN(_xlfn.DROP(INDEX(角色MOD表[],MATCH($E10,角色MOD表[名称],0),),,MATCH("耐受",角色MOD表[#Headers],0)))*(_xlfn.DROP(INDEX(角色MOD表[],MATCH($E10,角色MOD表[名称],0),),,MATCH("耐受",角色MOD表[#Headers],0))&lt;&gt;"")&lt;&gt;0),ROUNDUP(COLUMNS($L10:P10)/2,0))),_xlfn.LAMBDA(_xlpm.x,IFERROR(IF(ISNUMBER(MATCH($F10,{"百首","狮鹫","契约者"},0)),1+SUM(IFERROR(BUFF层数乘数*VLOOKUP(BUFF,BUFF表[],MATCH("MOD属性",BUFF表[#Headers],0),0),0)),1)*MIN(1,($J10+1)/IF($G10="金",11,IF($G10="绿",4,6)))*_xlpm.x,_xlpm.x))),"")</f>
        <v/>
      </c>
      <c r="R10" s="68" t="str" cm="1">
        <f t="array" ref="R10">IFERROR(INDEX(角色MOD表[#Headers],SMALL(_xlfn._xlws.FILTER(COLUMN(_xlfn.DROP(INDEX(角色MOD表[],MATCH($E10,角色MOD表[名称],0),),,MATCH("耐受",角色MOD表[#Headers],0)))*(_xlfn.DROP(INDEX(角色MOD表[],MATCH($E10,角色MOD表[名称],0),),,6)&lt;&gt;""),COLUMN(_xlfn.DROP(INDEX(角色MOD表[],MATCH($E10,角色MOD表[名称],0),),,MATCH("耐受",角色MOD表[#Headers],0)))*(_xlfn.DROP(INDEX(角色MOD表[],MATCH($E10,角色MOD表[名称],0),),,6)&lt;&gt;"")&lt;&gt;0),ROUNDUP(COLUMNS($L10:R10)/2,0))),"")</f>
        <v/>
      </c>
      <c r="S10" s="78" t="str" cm="1">
        <f t="array" ref="S10">IFERROR(_xlfn.MAP(INDEX(INDEX(角色MOD表[],MATCH($E10,角色MOD表[名称],0),),SMALL(_xlfn._xlws.FILTER(COLUMN(_xlfn.DROP(INDEX(角色MOD表[],MATCH($E10,角色MOD表[名称],0),),,MATCH("耐受",角色MOD表[#Headers],0)))*(_xlfn.DROP(INDEX(角色MOD表[],MATCH($E10,角色MOD表[名称],0),),,MATCH("耐受",角色MOD表[#Headers],0))&lt;&gt;""),COLUMN(_xlfn.DROP(INDEX(角色MOD表[],MATCH($E10,角色MOD表[名称],0),),,MATCH("耐受",角色MOD表[#Headers],0)))*(_xlfn.DROP(INDEX(角色MOD表[],MATCH($E10,角色MOD表[名称],0),),,MATCH("耐受",角色MOD表[#Headers],0))&lt;&gt;"")&lt;&gt;0),ROUNDUP(COLUMNS($L10:R10)/2,0))),_xlfn.LAMBDA(_xlpm.x,IFERROR(IF(ISNUMBER(MATCH($F10,{"百首","狮鹫","契约者"},0)),1+SUM(IFERROR(BUFF层数乘数*VLOOKUP(BUFF,BUFF表[],MATCH("MOD属性",BUFF表[#Headers],0),0),0)),1)*MIN(1,($J10+1)/IF($G10="金",11,IF($G10="绿",4,6)))*_xlpm.x,_xlpm.x))),"")</f>
        <v/>
      </c>
      <c r="T10" s="20" cm="1">
        <f t="array" ref="T10">X10*SUM(B$24*U10,B$26*V10,B$25*W10,B$27)*昂扬背水乘区(AB10,AC10)*SUM(1,AD10,AE10)*(1-敌方抗性+AF10)*(1+AG10)/IF($A$39="DPMP",ROUNDUP($B$30*(2-Z10),0),1)/IF($A$39="DPSMP",ROUNDUP($B$31*MAX(0.25,(2-Z10)/Y10),0),1)*防御乘区(AH10)</f>
        <v>768463.32430976</v>
      </c>
      <c r="U10" s="20" cm="1">
        <f t="array" ref="U10">删MOD取角色属性(U$6,ROWS($J$7:$J10))*(1+删MOD取角色属性("属性伤",ROWS($J$7:$J10)))</f>
        <v>5616.38753562546</v>
      </c>
      <c r="V10" s="20" cm="1">
        <f t="array" ref="V10">删MOD取角色属性(V$6,ROWS($J$7:$J10))</f>
        <v>3388.65048</v>
      </c>
      <c r="W10" s="20" cm="1">
        <f t="array" ref="W10">删MOD取角色属性(W$6,ROWS($J$7:$J10))</f>
        <v>971.49024</v>
      </c>
      <c r="X10" s="23" cm="1">
        <f t="array" ref="X10">删MOD取角色属性(X$6,ROWS($J$7:$J10))</f>
        <v>7.56762</v>
      </c>
      <c r="Y10" s="23" cm="1">
        <f t="array" ref="Y10">删MOD取角色属性(Y$6,ROWS($J$7:$J10))</f>
        <v>1.2</v>
      </c>
      <c r="Z10" s="23" cm="1">
        <f t="array" ref="Z10">删MOD取角色属性(Z$6,ROWS($J$7:$J10))</f>
        <v>0</v>
      </c>
      <c r="AA10" s="23" cm="1">
        <f t="array" ref="AA10">删MOD取角色属性(AA$6,ROWS($J$7:$J10))</f>
        <v>1.33594</v>
      </c>
      <c r="AB10" s="23" cm="1">
        <f t="array" ref="AB10">删MOD取角色属性(AB$6,ROWS($J$7:$J10))</f>
        <v>0</v>
      </c>
      <c r="AC10" s="23" cm="1">
        <f t="array" ref="AC10">删MOD取角色属性(AC$6,ROWS($J$7:$J10))</f>
        <v>0.83008</v>
      </c>
      <c r="AD10" s="23" cm="1">
        <f t="array" ref="AD10">删MOD取角色属性(AD$6,ROWS($J$7:$J10))</f>
        <v>2.25</v>
      </c>
      <c r="AE10" s="23" cm="1">
        <f t="array" ref="AE10">删MOD取角色属性(AE$6,ROWS($J$7:$J10))</f>
        <v>0</v>
      </c>
      <c r="AF10" s="23" cm="1">
        <f t="array" ref="AF10">删MOD取角色属性(AF$6,ROWS($J$7:$J10))</f>
        <v>0.24</v>
      </c>
      <c r="AG10" s="23" cm="1">
        <f t="array" ref="AG10">删MOD取角色属性(AG$6,ROWS($J$7:$J10))</f>
        <v>0</v>
      </c>
      <c r="AH10" s="23" cm="1">
        <f t="array" ref="AH10">删MOD取角色属性(AH$6,ROWS($J$7:$J10))</f>
        <v>0</v>
      </c>
      <c r="AV10" t="str">
        <v>全盛·背水</v>
      </c>
      <c r="AW10" t="str">
        <v>盛怒·缠缚</v>
      </c>
      <c r="AX10" t="str">
        <v>盛怒·缠缚</v>
      </c>
      <c r="BJ10">
        <v>9</v>
      </c>
      <c r="BK10">
        <v>10</v>
      </c>
      <c r="BM10">
        <v>9</v>
      </c>
      <c r="BN10">
        <v>10</v>
      </c>
      <c r="BT10">
        <v>9</v>
      </c>
      <c r="BU10">
        <v>9</v>
      </c>
      <c r="BV10">
        <v>9</v>
      </c>
      <c r="BX10">
        <v>9</v>
      </c>
    </row>
    <row r="11" spans="1:76">
      <c r="A11" s="68" t="s">
        <v>85</v>
      </c>
      <c r="B11" s="77">
        <f>VLOOKUP($B$3,角色表[],MATCH("基础"&amp;A11,角色表[#Headers],0),0)</f>
        <v>150</v>
      </c>
      <c r="C11" s="77" cm="1">
        <f t="array" ref="C11">取角色总属性(A11)</f>
        <v>150</v>
      </c>
      <c r="D11" s="76">
        <f t="shared" si="0"/>
        <v>0.14976834378049</v>
      </c>
      <c r="E11" s="69" t="s">
        <v>12</v>
      </c>
      <c r="F11" s="93" t="str">
        <f>IFERROR(VLOOKUP($E11,角色MOD表[],MATCH(F$6,角色MOD表[#Headers],0),0),"")</f>
        <v>契约者</v>
      </c>
      <c r="G11" s="94" t="str">
        <f>IFERROR(VLOOKUP($E11,角色MOD表[],MATCH(G$6,角色MOD表[#Headers],0),0),"")</f>
        <v>金</v>
      </c>
      <c r="H11" s="93" t="str">
        <f>IFERROR(VLOOKUP($E11,角色MOD表[],MATCH(H$6,角色MOD表[#Headers],0),0),"")&amp;""</f>
        <v>V</v>
      </c>
      <c r="I11" s="93">
        <f>IF(AND(K11&lt;&gt;"",H11&lt;&gt;""),ROUNDUP(IF(H11=K11,IFERROR(VLOOKUP($E11,角色MOD表[],6,0)+$J11-IF($G11="金",10,IF($G11="绿",3,5)),0)/2,IFERROR(VLOOKUP($E11,角色MOD表[],6,0)+$J11-IF($G11="金",10,IF($G11="绿",3,5)),0)*1.5),0),IFERROR(VLOOKUP($E11,角色MOD表[],6,0)+$J11-IF($G11="金",10,IF($G11="绿",3,5)),0))</f>
        <v>20</v>
      </c>
      <c r="J11" s="106">
        <v>10</v>
      </c>
      <c r="K11" s="69"/>
      <c r="L11" s="68" t="str" cm="1">
        <f t="array" ref="L11">IFERROR(INDEX(角色MOD表[#Headers],SMALL(_xlfn._xlws.FILTER(COLUMN(_xlfn.DROP(INDEX(角色MOD表[],MATCH($E11,角色MOD表[名称],0),),,MATCH("耐受",角色MOD表[#Headers],0)))*(_xlfn.DROP(INDEX(角色MOD表[],MATCH($E11,角色MOD表[名称],0),),,6)&lt;&gt;""),COLUMN(_xlfn.DROP(INDEX(角色MOD表[],MATCH($E11,角色MOD表[名称],0),),,MATCH("耐受",角色MOD表[#Headers],0)))*(_xlfn.DROP(INDEX(角色MOD表[],MATCH($E11,角色MOD表[名称],0),),,6)&lt;&gt;"")&lt;&gt;0),ROUNDUP(COLUMNS($L11:L11)/2,0))),"")</f>
        <v>威力</v>
      </c>
      <c r="M11" s="78" cm="1">
        <f t="array" ref="M11">IFERROR(_xlfn.MAP(INDEX(INDEX(角色MOD表[],MATCH($E11,角色MOD表[名称],0),),SMALL(_xlfn._xlws.FILTER(COLUMN(_xlfn.DROP(INDEX(角色MOD表[],MATCH($E11,角色MOD表[名称],0),),,MATCH("耐受",角色MOD表[#Headers],0)))*(_xlfn.DROP(INDEX(角色MOD表[],MATCH($E11,角色MOD表[名称],0),),,MATCH("耐受",角色MOD表[#Headers],0))&lt;&gt;""),COLUMN(_xlfn.DROP(INDEX(角色MOD表[],MATCH($E11,角色MOD表[名称],0),),,MATCH("耐受",角色MOD表[#Headers],0)))*(_xlfn.DROP(INDEX(角色MOD表[],MATCH($E11,角色MOD表[名称],0),),,MATCH("耐受",角色MOD表[#Headers],0))&lt;&gt;"")&lt;&gt;0),ROUNDUP(COLUMNS($L11:L11)/2,0))),_xlfn.LAMBDA(_xlpm.x,IFERROR(IF(ISNUMBER(MATCH($F11,{"百首","狮鹫","契约者"},0)),1+SUM(IFERROR(BUFF层数乘数*VLOOKUP(BUFF,BUFF表[],MATCH("MOD属性",BUFF表[#Headers],0),0),0)),1)*MIN(1,($J11+1)/IF($G11="金",11,IF($G11="绿",4,6)))*_xlpm.x,_xlpm.x))),"")</f>
        <v>0.44792</v>
      </c>
      <c r="N11" s="68" t="str" cm="1">
        <f t="array" ref="N11">IFERROR(INDEX(角色MOD表[#Headers],SMALL(_xlfn._xlws.FILTER(COLUMN(_xlfn.DROP(INDEX(角色MOD表[],MATCH($E11,角色MOD表[名称],0),),,MATCH("耐受",角色MOD表[#Headers],0)))*(_xlfn.DROP(INDEX(角色MOD表[],MATCH($E11,角色MOD表[名称],0),),,6)&lt;&gt;""),COLUMN(_xlfn.DROP(INDEX(角色MOD表[],MATCH($E11,角色MOD表[名称],0),),,MATCH("耐受",角色MOD表[#Headers],0)))*(_xlfn.DROP(INDEX(角色MOD表[],MATCH($E11,角色MOD表[名称],0),),,6)&lt;&gt;"")&lt;&gt;0),ROUNDUP(COLUMNS($L11:N11)/2,0))),"")</f>
        <v>攻击</v>
      </c>
      <c r="O11" s="78" cm="1">
        <f t="array" ref="O11">IFERROR(_xlfn.MAP(INDEX(INDEX(角色MOD表[],MATCH($E11,角色MOD表[名称],0),),SMALL(_xlfn._xlws.FILTER(COLUMN(_xlfn.DROP(INDEX(角色MOD表[],MATCH($E11,角色MOD表[名称],0),),,MATCH("耐受",角色MOD表[#Headers],0)))*(_xlfn.DROP(INDEX(角色MOD表[],MATCH($E11,角色MOD表[名称],0),),,MATCH("耐受",角色MOD表[#Headers],0))&lt;&gt;""),COLUMN(_xlfn.DROP(INDEX(角色MOD表[],MATCH($E11,角色MOD表[名称],0),),,MATCH("耐受",角色MOD表[#Headers],0)))*(_xlfn.DROP(INDEX(角色MOD表[],MATCH($E11,角色MOD表[名称],0),),,MATCH("耐受",角色MOD表[#Headers],0))&lt;&gt;"")&lt;&gt;0),ROUNDUP(COLUMNS($L11:N11)/2,0))),_xlfn.LAMBDA(_xlpm.x,IFERROR(IF(ISNUMBER(MATCH($F11,{"百首","狮鹫","契约者"},0)),1+SUM(IFERROR(BUFF层数乘数*VLOOKUP(BUFF,BUFF表[],MATCH("MOD属性",BUFF表[#Headers],0),0),0)),1)*MIN(1,($J11+1)/IF($G11="金",11,IF($G11="绿",4,6)))*_xlpm.x,_xlpm.x))),"")</f>
        <v>0.89584</v>
      </c>
      <c r="P11" s="68" t="str" cm="1">
        <f t="array" ref="P11">IFERROR(INDEX(角色MOD表[#Headers],SMALL(_xlfn._xlws.FILTER(COLUMN(_xlfn.DROP(INDEX(角色MOD表[],MATCH($E11,角色MOD表[名称],0),),,MATCH("耐受",角色MOD表[#Headers],0)))*(_xlfn.DROP(INDEX(角色MOD表[],MATCH($E11,角色MOD表[名称],0),),,6)&lt;&gt;""),COLUMN(_xlfn.DROP(INDEX(角色MOD表[],MATCH($E11,角色MOD表[名称],0),),,MATCH("耐受",角色MOD表[#Headers],0)))*(_xlfn.DROP(INDEX(角色MOD表[],MATCH($E11,角色MOD表[名称],0),),,6)&lt;&gt;"")&lt;&gt;0),ROUNDUP(COLUMNS($L11:P11)/2,0))),"")</f>
        <v/>
      </c>
      <c r="Q11" s="78" t="str" cm="1">
        <f t="array" ref="Q11">IFERROR(_xlfn.MAP(INDEX(INDEX(角色MOD表[],MATCH($E11,角色MOD表[名称],0),),SMALL(_xlfn._xlws.FILTER(COLUMN(_xlfn.DROP(INDEX(角色MOD表[],MATCH($E11,角色MOD表[名称],0),),,MATCH("耐受",角色MOD表[#Headers],0)))*(_xlfn.DROP(INDEX(角色MOD表[],MATCH($E11,角色MOD表[名称],0),),,MATCH("耐受",角色MOD表[#Headers],0))&lt;&gt;""),COLUMN(_xlfn.DROP(INDEX(角色MOD表[],MATCH($E11,角色MOD表[名称],0),),,MATCH("耐受",角色MOD表[#Headers],0)))*(_xlfn.DROP(INDEX(角色MOD表[],MATCH($E11,角色MOD表[名称],0),),,MATCH("耐受",角色MOD表[#Headers],0))&lt;&gt;"")&lt;&gt;0),ROUNDUP(COLUMNS($L11:P11)/2,0))),_xlfn.LAMBDA(_xlpm.x,IFERROR(IF(ISNUMBER(MATCH($F11,{"百首","狮鹫","契约者"},0)),1+SUM(IFERROR(BUFF层数乘数*VLOOKUP(BUFF,BUFF表[],MATCH("MOD属性",BUFF表[#Headers],0),0),0)),1)*MIN(1,($J11+1)/IF($G11="金",11,IF($G11="绿",4,6)))*_xlpm.x,_xlpm.x))),"")</f>
        <v/>
      </c>
      <c r="R11" s="68" t="str" cm="1">
        <f t="array" ref="R11">IFERROR(INDEX(角色MOD表[#Headers],SMALL(_xlfn._xlws.FILTER(COLUMN(_xlfn.DROP(INDEX(角色MOD表[],MATCH($E11,角色MOD表[名称],0),),,MATCH("耐受",角色MOD表[#Headers],0)))*(_xlfn.DROP(INDEX(角色MOD表[],MATCH($E11,角色MOD表[名称],0),),,6)&lt;&gt;""),COLUMN(_xlfn.DROP(INDEX(角色MOD表[],MATCH($E11,角色MOD表[名称],0),),,MATCH("耐受",角色MOD表[#Headers],0)))*(_xlfn.DROP(INDEX(角色MOD表[],MATCH($E11,角色MOD表[名称],0),),,6)&lt;&gt;"")&lt;&gt;0),ROUNDUP(COLUMNS($L11:R11)/2,0))),"")</f>
        <v/>
      </c>
      <c r="S11" s="78" t="str" cm="1">
        <f t="array" ref="S11">IFERROR(_xlfn.MAP(INDEX(INDEX(角色MOD表[],MATCH($E11,角色MOD表[名称],0),),SMALL(_xlfn._xlws.FILTER(COLUMN(_xlfn.DROP(INDEX(角色MOD表[],MATCH($E11,角色MOD表[名称],0),),,MATCH("耐受",角色MOD表[#Headers],0)))*(_xlfn.DROP(INDEX(角色MOD表[],MATCH($E11,角色MOD表[名称],0),),,MATCH("耐受",角色MOD表[#Headers],0))&lt;&gt;""),COLUMN(_xlfn.DROP(INDEX(角色MOD表[],MATCH($E11,角色MOD表[名称],0),),,MATCH("耐受",角色MOD表[#Headers],0)))*(_xlfn.DROP(INDEX(角色MOD表[],MATCH($E11,角色MOD表[名称],0),),,MATCH("耐受",角色MOD表[#Headers],0))&lt;&gt;"")&lt;&gt;0),ROUNDUP(COLUMNS($L11:R11)/2,0))),_xlfn.LAMBDA(_xlpm.x,IFERROR(IF(ISNUMBER(MATCH($F11,{"百首","狮鹫","契约者"},0)),1+SUM(IFERROR(BUFF层数乘数*VLOOKUP(BUFF,BUFF表[],MATCH("MOD属性",BUFF表[#Headers],0),0),0)),1)*MIN(1,($J11+1)/IF($G11="金",11,IF($G11="绿",4,6)))*_xlpm.x,_xlpm.x))),"")</f>
        <v/>
      </c>
      <c r="T11" s="20" cm="1">
        <f t="array" ref="T11">X11*SUM(B$24*U11,B$26*V11,B$25*W11,B$27)*昂扬背水乘区(AB11,AC11)*SUM(1,AD11,AE11)*(1-敌方抗性+AF11)*(1+AG11)/IF($A$39="DPMP",ROUNDUP($B$30*(2-Z11),0),1)/IF($A$39="DPSMP",ROUNDUP($B$31*MAX(0.25,(2-Z11)/Y11),0),1)*防御乘区(AH11)</f>
        <v>768463.32430976</v>
      </c>
      <c r="U11" s="20" cm="1">
        <f t="array" ref="U11">删MOD取角色属性(U$6,ROWS($J$7:$J11))*(1+删MOD取角色属性("属性伤",ROWS($J$7:$J11)))</f>
        <v>5616.38753562546</v>
      </c>
      <c r="V11" s="20" cm="1">
        <f t="array" ref="V11">删MOD取角色属性(V$6,ROWS($J$7:$J11))</f>
        <v>3388.65048</v>
      </c>
      <c r="W11" s="20" cm="1">
        <f t="array" ref="W11">删MOD取角色属性(W$6,ROWS($J$7:$J11))</f>
        <v>971.49024</v>
      </c>
      <c r="X11" s="23" cm="1">
        <f t="array" ref="X11">删MOD取角色属性(X$6,ROWS($J$7:$J11))</f>
        <v>7.56762</v>
      </c>
      <c r="Y11" s="23" cm="1">
        <f t="array" ref="Y11">删MOD取角色属性(Y$6,ROWS($J$7:$J11))</f>
        <v>1.2</v>
      </c>
      <c r="Z11" s="23" cm="1">
        <f t="array" ref="Z11">删MOD取角色属性(Z$6,ROWS($J$7:$J11))</f>
        <v>0</v>
      </c>
      <c r="AA11" s="23" cm="1">
        <f t="array" ref="AA11">删MOD取角色属性(AA$6,ROWS($J$7:$J11))</f>
        <v>1.33594</v>
      </c>
      <c r="AB11" s="23" cm="1">
        <f t="array" ref="AB11">删MOD取角色属性(AB$6,ROWS($J$7:$J11))</f>
        <v>0</v>
      </c>
      <c r="AC11" s="23" cm="1">
        <f t="array" ref="AC11">删MOD取角色属性(AC$6,ROWS($J$7:$J11))</f>
        <v>0.83008</v>
      </c>
      <c r="AD11" s="23" cm="1">
        <f t="array" ref="AD11">删MOD取角色属性(AD$6,ROWS($J$7:$J11))</f>
        <v>2.25</v>
      </c>
      <c r="AE11" s="23" cm="1">
        <f t="array" ref="AE11">删MOD取角色属性(AE$6,ROWS($J$7:$J11))</f>
        <v>0</v>
      </c>
      <c r="AF11" s="23" cm="1">
        <f t="array" ref="AF11">删MOD取角色属性(AF$6,ROWS($J$7:$J11))</f>
        <v>0.24</v>
      </c>
      <c r="AG11" s="23" cm="1">
        <f t="array" ref="AG11">删MOD取角色属性(AG$6,ROWS($J$7:$J11))</f>
        <v>0</v>
      </c>
      <c r="AH11" s="23" cm="1">
        <f t="array" ref="AH11">删MOD取角色属性(AH$6,ROWS($J$7:$J11))</f>
        <v>0</v>
      </c>
      <c r="AV11" t="str">
        <v>全盛·追袭</v>
      </c>
      <c r="AW11" t="str">
        <v>瞬袭</v>
      </c>
      <c r="AX11" t="str">
        <v>箭雨</v>
      </c>
      <c r="BJ11">
        <v>10</v>
      </c>
      <c r="BK11">
        <v>11</v>
      </c>
      <c r="BM11">
        <v>10</v>
      </c>
      <c r="BN11">
        <v>11</v>
      </c>
      <c r="BT11">
        <v>10</v>
      </c>
      <c r="BU11">
        <v>10</v>
      </c>
      <c r="BV11">
        <v>10</v>
      </c>
      <c r="BX11">
        <v>10</v>
      </c>
    </row>
    <row r="12" spans="1:66">
      <c r="A12" s="68" t="s">
        <v>61</v>
      </c>
      <c r="B12" s="78">
        <f>1+IFERROR(VLOOKUP($B$3,角色表[],MATCH(A12,角色表[#Headers],0),0),0)</f>
        <v>1.2</v>
      </c>
      <c r="C12" s="78" cm="1">
        <f t="array" ref="C12">取角色总属性(A12)</f>
        <v>8.01554</v>
      </c>
      <c r="D12" s="76">
        <f t="shared" si="0"/>
        <v>0.14976834378049</v>
      </c>
      <c r="E12" s="69" t="s">
        <v>12</v>
      </c>
      <c r="F12" s="93" t="str">
        <f>IFERROR(VLOOKUP($E12,角色MOD表[],MATCH(F$6,角色MOD表[#Headers],0),0),"")</f>
        <v>契约者</v>
      </c>
      <c r="G12" s="94" t="str">
        <f>IFERROR(VLOOKUP($E12,角色MOD表[],MATCH(G$6,角色MOD表[#Headers],0),0),"")</f>
        <v>金</v>
      </c>
      <c r="H12" s="93" t="str">
        <f>IFERROR(VLOOKUP($E12,角色MOD表[],MATCH(H$6,角色MOD表[#Headers],0),0),"")&amp;""</f>
        <v>V</v>
      </c>
      <c r="I12" s="93">
        <f>IF(AND(K12&lt;&gt;"",H12&lt;&gt;""),ROUNDUP(IF(H12=K12,IFERROR(VLOOKUP($E12,角色MOD表[],6,0)+$J12-IF($G12="金",10,IF($G12="绿",3,5)),0)/2,IFERROR(VLOOKUP($E12,角色MOD表[],6,0)+$J12-IF($G12="金",10,IF($G12="绿",3,5)),0)*1.5),0),IFERROR(VLOOKUP($E12,角色MOD表[],6,0)+$J12-IF($G12="金",10,IF($G12="绿",3,5)),0))</f>
        <v>20</v>
      </c>
      <c r="J12" s="106">
        <v>10</v>
      </c>
      <c r="K12" s="69"/>
      <c r="L12" s="68" t="str" cm="1">
        <f t="array" ref="L12">IFERROR(INDEX(角色MOD表[#Headers],SMALL(_xlfn._xlws.FILTER(COLUMN(_xlfn.DROP(INDEX(角色MOD表[],MATCH($E12,角色MOD表[名称],0),),,MATCH("耐受",角色MOD表[#Headers],0)))*(_xlfn.DROP(INDEX(角色MOD表[],MATCH($E12,角色MOD表[名称],0),),,6)&lt;&gt;""),COLUMN(_xlfn.DROP(INDEX(角色MOD表[],MATCH($E12,角色MOD表[名称],0),),,MATCH("耐受",角色MOD表[#Headers],0)))*(_xlfn.DROP(INDEX(角色MOD表[],MATCH($E12,角色MOD表[名称],0),),,6)&lt;&gt;"")&lt;&gt;0),ROUNDUP(COLUMNS($L12:L12)/2,0))),"")</f>
        <v>威力</v>
      </c>
      <c r="M12" s="78" cm="1">
        <f t="array" ref="M12">IFERROR(_xlfn.MAP(INDEX(INDEX(角色MOD表[],MATCH($E12,角色MOD表[名称],0),),SMALL(_xlfn._xlws.FILTER(COLUMN(_xlfn.DROP(INDEX(角色MOD表[],MATCH($E12,角色MOD表[名称],0),),,MATCH("耐受",角色MOD表[#Headers],0)))*(_xlfn.DROP(INDEX(角色MOD表[],MATCH($E12,角色MOD表[名称],0),),,MATCH("耐受",角色MOD表[#Headers],0))&lt;&gt;""),COLUMN(_xlfn.DROP(INDEX(角色MOD表[],MATCH($E12,角色MOD表[名称],0),),,MATCH("耐受",角色MOD表[#Headers],0)))*(_xlfn.DROP(INDEX(角色MOD表[],MATCH($E12,角色MOD表[名称],0),),,MATCH("耐受",角色MOD表[#Headers],0))&lt;&gt;"")&lt;&gt;0),ROUNDUP(COLUMNS($L12:L12)/2,0))),_xlfn.LAMBDA(_xlpm.x,IFERROR(IF(ISNUMBER(MATCH($F12,{"百首","狮鹫","契约者"},0)),1+SUM(IFERROR(BUFF层数乘数*VLOOKUP(BUFF,BUFF表[],MATCH("MOD属性",BUFF表[#Headers],0),0),0)),1)*MIN(1,($J12+1)/IF($G12="金",11,IF($G12="绿",4,6)))*_xlpm.x,_xlpm.x))),"")</f>
        <v>0.44792</v>
      </c>
      <c r="N12" s="68" t="str" cm="1">
        <f t="array" ref="N12">IFERROR(INDEX(角色MOD表[#Headers],SMALL(_xlfn._xlws.FILTER(COLUMN(_xlfn.DROP(INDEX(角色MOD表[],MATCH($E12,角色MOD表[名称],0),),,MATCH("耐受",角色MOD表[#Headers],0)))*(_xlfn.DROP(INDEX(角色MOD表[],MATCH($E12,角色MOD表[名称],0),),,6)&lt;&gt;""),COLUMN(_xlfn.DROP(INDEX(角色MOD表[],MATCH($E12,角色MOD表[名称],0),),,MATCH("耐受",角色MOD表[#Headers],0)))*(_xlfn.DROP(INDEX(角色MOD表[],MATCH($E12,角色MOD表[名称],0),),,6)&lt;&gt;"")&lt;&gt;0),ROUNDUP(COLUMNS($L12:N12)/2,0))),"")</f>
        <v>攻击</v>
      </c>
      <c r="O12" s="78" cm="1">
        <f t="array" ref="O12">IFERROR(_xlfn.MAP(INDEX(INDEX(角色MOD表[],MATCH($E12,角色MOD表[名称],0),),SMALL(_xlfn._xlws.FILTER(COLUMN(_xlfn.DROP(INDEX(角色MOD表[],MATCH($E12,角色MOD表[名称],0),),,MATCH("耐受",角色MOD表[#Headers],0)))*(_xlfn.DROP(INDEX(角色MOD表[],MATCH($E12,角色MOD表[名称],0),),,MATCH("耐受",角色MOD表[#Headers],0))&lt;&gt;""),COLUMN(_xlfn.DROP(INDEX(角色MOD表[],MATCH($E12,角色MOD表[名称],0),),,MATCH("耐受",角色MOD表[#Headers],0)))*(_xlfn.DROP(INDEX(角色MOD表[],MATCH($E12,角色MOD表[名称],0),),,MATCH("耐受",角色MOD表[#Headers],0))&lt;&gt;"")&lt;&gt;0),ROUNDUP(COLUMNS($L12:N12)/2,0))),_xlfn.LAMBDA(_xlpm.x,IFERROR(IF(ISNUMBER(MATCH($F12,{"百首","狮鹫","契约者"},0)),1+SUM(IFERROR(BUFF层数乘数*VLOOKUP(BUFF,BUFF表[],MATCH("MOD属性",BUFF表[#Headers],0),0),0)),1)*MIN(1,($J12+1)/IF($G12="金",11,IF($G12="绿",4,6)))*_xlpm.x,_xlpm.x))),"")</f>
        <v>0.89584</v>
      </c>
      <c r="P12" s="68" t="str" cm="1">
        <f t="array" ref="P12">IFERROR(INDEX(角色MOD表[#Headers],SMALL(_xlfn._xlws.FILTER(COLUMN(_xlfn.DROP(INDEX(角色MOD表[],MATCH($E12,角色MOD表[名称],0),),,MATCH("耐受",角色MOD表[#Headers],0)))*(_xlfn.DROP(INDEX(角色MOD表[],MATCH($E12,角色MOD表[名称],0),),,6)&lt;&gt;""),COLUMN(_xlfn.DROP(INDEX(角色MOD表[],MATCH($E12,角色MOD表[名称],0),),,MATCH("耐受",角色MOD表[#Headers],0)))*(_xlfn.DROP(INDEX(角色MOD表[],MATCH($E12,角色MOD表[名称],0),),,6)&lt;&gt;"")&lt;&gt;0),ROUNDUP(COLUMNS($L12:P12)/2,0))),"")</f>
        <v/>
      </c>
      <c r="Q12" s="78" t="str" cm="1">
        <f t="array" ref="Q12">IFERROR(_xlfn.MAP(INDEX(INDEX(角色MOD表[],MATCH($E12,角色MOD表[名称],0),),SMALL(_xlfn._xlws.FILTER(COLUMN(_xlfn.DROP(INDEX(角色MOD表[],MATCH($E12,角色MOD表[名称],0),),,MATCH("耐受",角色MOD表[#Headers],0)))*(_xlfn.DROP(INDEX(角色MOD表[],MATCH($E12,角色MOD表[名称],0),),,MATCH("耐受",角色MOD表[#Headers],0))&lt;&gt;""),COLUMN(_xlfn.DROP(INDEX(角色MOD表[],MATCH($E12,角色MOD表[名称],0),),,MATCH("耐受",角色MOD表[#Headers],0)))*(_xlfn.DROP(INDEX(角色MOD表[],MATCH($E12,角色MOD表[名称],0),),,MATCH("耐受",角色MOD表[#Headers],0))&lt;&gt;"")&lt;&gt;0),ROUNDUP(COLUMNS($L12:P12)/2,0))),_xlfn.LAMBDA(_xlpm.x,IFERROR(IF(ISNUMBER(MATCH($F12,{"百首","狮鹫","契约者"},0)),1+SUM(IFERROR(BUFF层数乘数*VLOOKUP(BUFF,BUFF表[],MATCH("MOD属性",BUFF表[#Headers],0),0),0)),1)*MIN(1,($J12+1)/IF($G12="金",11,IF($G12="绿",4,6)))*_xlpm.x,_xlpm.x))),"")</f>
        <v/>
      </c>
      <c r="R12" s="68" t="str" cm="1">
        <f t="array" ref="R12">IFERROR(INDEX(角色MOD表[#Headers],SMALL(_xlfn._xlws.FILTER(COLUMN(_xlfn.DROP(INDEX(角色MOD表[],MATCH($E12,角色MOD表[名称],0),),,MATCH("耐受",角色MOD表[#Headers],0)))*(_xlfn.DROP(INDEX(角色MOD表[],MATCH($E12,角色MOD表[名称],0),),,6)&lt;&gt;""),COLUMN(_xlfn.DROP(INDEX(角色MOD表[],MATCH($E12,角色MOD表[名称],0),),,MATCH("耐受",角色MOD表[#Headers],0)))*(_xlfn.DROP(INDEX(角色MOD表[],MATCH($E12,角色MOD表[名称],0),),,6)&lt;&gt;"")&lt;&gt;0),ROUNDUP(COLUMNS($L12:R12)/2,0))),"")</f>
        <v/>
      </c>
      <c r="S12" s="78" t="str" cm="1">
        <f t="array" ref="S12">IFERROR(_xlfn.MAP(INDEX(INDEX(角色MOD表[],MATCH($E12,角色MOD表[名称],0),),SMALL(_xlfn._xlws.FILTER(COLUMN(_xlfn.DROP(INDEX(角色MOD表[],MATCH($E12,角色MOD表[名称],0),),,MATCH("耐受",角色MOD表[#Headers],0)))*(_xlfn.DROP(INDEX(角色MOD表[],MATCH($E12,角色MOD表[名称],0),),,MATCH("耐受",角色MOD表[#Headers],0))&lt;&gt;""),COLUMN(_xlfn.DROP(INDEX(角色MOD表[],MATCH($E12,角色MOD表[名称],0),),,MATCH("耐受",角色MOD表[#Headers],0)))*(_xlfn.DROP(INDEX(角色MOD表[],MATCH($E12,角色MOD表[名称],0),),,MATCH("耐受",角色MOD表[#Headers],0))&lt;&gt;"")&lt;&gt;0),ROUNDUP(COLUMNS($L12:R12)/2,0))),_xlfn.LAMBDA(_xlpm.x,IFERROR(IF(ISNUMBER(MATCH($F12,{"百首","狮鹫","契约者"},0)),1+SUM(IFERROR(BUFF层数乘数*VLOOKUP(BUFF,BUFF表[],MATCH("MOD属性",BUFF表[#Headers],0),0),0)),1)*MIN(1,($J12+1)/IF($G12="金",11,IF($G12="绿",4,6)))*_xlpm.x,_xlpm.x))),"")</f>
        <v/>
      </c>
      <c r="T12" s="20" cm="1">
        <f t="array" ref="T12">X12*SUM(B$24*U12,B$26*V12,B$25*W12,B$27)*昂扬背水乘区(AB12,AC12)*SUM(1,AD12,AE12)*(1-敌方抗性+AF12)*(1+AG12)/IF($A$39="DPMP",ROUNDUP($B$30*(2-Z12),0),1)/IF($A$39="DPSMP",ROUNDUP($B$31*MAX(0.25,(2-Z12)/Y12),0),1)*防御乘区(AH12)</f>
        <v>768463.32430976</v>
      </c>
      <c r="U12" s="20" cm="1">
        <f t="array" ref="U12">删MOD取角色属性(U$6,ROWS($J$7:$J12))*(1+删MOD取角色属性("属性伤",ROWS($J$7:$J12)))</f>
        <v>5616.38753562546</v>
      </c>
      <c r="V12" s="20" cm="1">
        <f t="array" ref="V12">删MOD取角色属性(V$6,ROWS($J$7:$J12))</f>
        <v>3388.65048</v>
      </c>
      <c r="W12" s="20" cm="1">
        <f t="array" ref="W12">删MOD取角色属性(W$6,ROWS($J$7:$J12))</f>
        <v>971.49024</v>
      </c>
      <c r="X12" s="23" cm="1">
        <f t="array" ref="X12">删MOD取角色属性(X$6,ROWS($J$7:$J12))</f>
        <v>7.56762</v>
      </c>
      <c r="Y12" s="23" cm="1">
        <f t="array" ref="Y12">删MOD取角色属性(Y$6,ROWS($J$7:$J12))</f>
        <v>1.2</v>
      </c>
      <c r="Z12" s="23" cm="1">
        <f t="array" ref="Z12">删MOD取角色属性(Z$6,ROWS($J$7:$J12))</f>
        <v>0</v>
      </c>
      <c r="AA12" s="23" cm="1">
        <f t="array" ref="AA12">删MOD取角色属性(AA$6,ROWS($J$7:$J12))</f>
        <v>1.33594</v>
      </c>
      <c r="AB12" s="23" cm="1">
        <f t="array" ref="AB12">删MOD取角色属性(AB$6,ROWS($J$7:$J12))</f>
        <v>0</v>
      </c>
      <c r="AC12" s="23" cm="1">
        <f t="array" ref="AC12">删MOD取角色属性(AC$6,ROWS($J$7:$J12))</f>
        <v>0.83008</v>
      </c>
      <c r="AD12" s="23" cm="1">
        <f t="array" ref="AD12">删MOD取角色属性(AD$6,ROWS($J$7:$J12))</f>
        <v>2.25</v>
      </c>
      <c r="AE12" s="23" cm="1">
        <f t="array" ref="AE12">删MOD取角色属性(AE$6,ROWS($J$7:$J12))</f>
        <v>0</v>
      </c>
      <c r="AF12" s="23" cm="1">
        <f t="array" ref="AF12">删MOD取角色属性(AF$6,ROWS($J$7:$J12))</f>
        <v>0.24</v>
      </c>
      <c r="AG12" s="23" cm="1">
        <f t="array" ref="AG12">删MOD取角色属性(AG$6,ROWS($J$7:$J12))</f>
        <v>0</v>
      </c>
      <c r="AH12" s="23" cm="1">
        <f t="array" ref="AH12">删MOD取角色属性(AH$6,ROWS($J$7:$J12))</f>
        <v>0</v>
      </c>
      <c r="AV12" t="str">
        <v>全盛·安神</v>
      </c>
      <c r="AW12" t="str">
        <v>坠击</v>
      </c>
      <c r="AX12" t="str">
        <v>箭匣·整备</v>
      </c>
      <c r="BK12">
        <v>12</v>
      </c>
      <c r="BN12">
        <v>12</v>
      </c>
    </row>
    <row r="13" spans="1:50">
      <c r="A13" s="68" t="s">
        <v>62</v>
      </c>
      <c r="B13" s="78">
        <f>1+IFERROR(VLOOKUP($B$3,角色表[],MATCH(A13,角色表[#Headers],0),0),0)</f>
        <v>1</v>
      </c>
      <c r="C13" s="78" cm="1">
        <f t="array" ref="C13">取角色总属性(A13)</f>
        <v>1.2</v>
      </c>
      <c r="D13" s="76">
        <f t="shared" si="0"/>
        <v>0.14976834378049</v>
      </c>
      <c r="E13" s="69" t="s">
        <v>12</v>
      </c>
      <c r="F13" s="93" t="str">
        <f>IFERROR(VLOOKUP($E13,角色MOD表[],MATCH(F$6,角色MOD表[#Headers],0),0),"")</f>
        <v>契约者</v>
      </c>
      <c r="G13" s="94" t="str">
        <f>IFERROR(VLOOKUP($E13,角色MOD表[],MATCH(G$6,角色MOD表[#Headers],0),0),"")</f>
        <v>金</v>
      </c>
      <c r="H13" s="93" t="str">
        <f>IFERROR(VLOOKUP($E13,角色MOD表[],MATCH(H$6,角色MOD表[#Headers],0),0),"")&amp;""</f>
        <v>V</v>
      </c>
      <c r="I13" s="93">
        <f>IF(AND(K13&lt;&gt;"",H13&lt;&gt;""),ROUNDUP(IF(H13=K13,IFERROR(VLOOKUP($E13,角色MOD表[],6,0)+$J13-IF($G13="金",10,IF($G13="绿",3,5)),0)/2,IFERROR(VLOOKUP($E13,角色MOD表[],6,0)+$J13-IF($G13="金",10,IF($G13="绿",3,5)),0)*1.5),0),IFERROR(VLOOKUP($E13,角色MOD表[],6,0)+$J13-IF($G13="金",10,IF($G13="绿",3,5)),0))</f>
        <v>20</v>
      </c>
      <c r="J13" s="106">
        <v>10</v>
      </c>
      <c r="K13" s="69"/>
      <c r="L13" s="68" t="str" cm="1">
        <f t="array" ref="L13">IFERROR(INDEX(角色MOD表[#Headers],SMALL(_xlfn._xlws.FILTER(COLUMN(_xlfn.DROP(INDEX(角色MOD表[],MATCH($E13,角色MOD表[名称],0),),,MATCH("耐受",角色MOD表[#Headers],0)))*(_xlfn.DROP(INDEX(角色MOD表[],MATCH($E13,角色MOD表[名称],0),),,6)&lt;&gt;""),COLUMN(_xlfn.DROP(INDEX(角色MOD表[],MATCH($E13,角色MOD表[名称],0),),,MATCH("耐受",角色MOD表[#Headers],0)))*(_xlfn.DROP(INDEX(角色MOD表[],MATCH($E13,角色MOD表[名称],0),),,6)&lt;&gt;"")&lt;&gt;0),ROUNDUP(COLUMNS($L13:L13)/2,0))),"")</f>
        <v>威力</v>
      </c>
      <c r="M13" s="78" cm="1">
        <f t="array" ref="M13">IFERROR(_xlfn.MAP(INDEX(INDEX(角色MOD表[],MATCH($E13,角色MOD表[名称],0),),SMALL(_xlfn._xlws.FILTER(COLUMN(_xlfn.DROP(INDEX(角色MOD表[],MATCH($E13,角色MOD表[名称],0),),,MATCH("耐受",角色MOD表[#Headers],0)))*(_xlfn.DROP(INDEX(角色MOD表[],MATCH($E13,角色MOD表[名称],0),),,MATCH("耐受",角色MOD表[#Headers],0))&lt;&gt;""),COLUMN(_xlfn.DROP(INDEX(角色MOD表[],MATCH($E13,角色MOD表[名称],0),),,MATCH("耐受",角色MOD表[#Headers],0)))*(_xlfn.DROP(INDEX(角色MOD表[],MATCH($E13,角色MOD表[名称],0),),,MATCH("耐受",角色MOD表[#Headers],0))&lt;&gt;"")&lt;&gt;0),ROUNDUP(COLUMNS($L13:L13)/2,0))),_xlfn.LAMBDA(_xlpm.x,IFERROR(IF(ISNUMBER(MATCH($F13,{"百首","狮鹫","契约者"},0)),1+SUM(IFERROR(BUFF层数乘数*VLOOKUP(BUFF,BUFF表[],MATCH("MOD属性",BUFF表[#Headers],0),0),0)),1)*MIN(1,($J13+1)/IF($G13="金",11,IF($G13="绿",4,6)))*_xlpm.x,_xlpm.x))),"")</f>
        <v>0.44792</v>
      </c>
      <c r="N13" s="68" t="str" cm="1">
        <f t="array" ref="N13">IFERROR(INDEX(角色MOD表[#Headers],SMALL(_xlfn._xlws.FILTER(COLUMN(_xlfn.DROP(INDEX(角色MOD表[],MATCH($E13,角色MOD表[名称],0),),,MATCH("耐受",角色MOD表[#Headers],0)))*(_xlfn.DROP(INDEX(角色MOD表[],MATCH($E13,角色MOD表[名称],0),),,6)&lt;&gt;""),COLUMN(_xlfn.DROP(INDEX(角色MOD表[],MATCH($E13,角色MOD表[名称],0),),,MATCH("耐受",角色MOD表[#Headers],0)))*(_xlfn.DROP(INDEX(角色MOD表[],MATCH($E13,角色MOD表[名称],0),),,6)&lt;&gt;"")&lt;&gt;0),ROUNDUP(COLUMNS($L13:N13)/2,0))),"")</f>
        <v>攻击</v>
      </c>
      <c r="O13" s="78" cm="1">
        <f t="array" ref="O13">IFERROR(_xlfn.MAP(INDEX(INDEX(角色MOD表[],MATCH($E13,角色MOD表[名称],0),),SMALL(_xlfn._xlws.FILTER(COLUMN(_xlfn.DROP(INDEX(角色MOD表[],MATCH($E13,角色MOD表[名称],0),),,MATCH("耐受",角色MOD表[#Headers],0)))*(_xlfn.DROP(INDEX(角色MOD表[],MATCH($E13,角色MOD表[名称],0),),,MATCH("耐受",角色MOD表[#Headers],0))&lt;&gt;""),COLUMN(_xlfn.DROP(INDEX(角色MOD表[],MATCH($E13,角色MOD表[名称],0),),,MATCH("耐受",角色MOD表[#Headers],0)))*(_xlfn.DROP(INDEX(角色MOD表[],MATCH($E13,角色MOD表[名称],0),),,MATCH("耐受",角色MOD表[#Headers],0))&lt;&gt;"")&lt;&gt;0),ROUNDUP(COLUMNS($L13:N13)/2,0))),_xlfn.LAMBDA(_xlpm.x,IFERROR(IF(ISNUMBER(MATCH($F13,{"百首","狮鹫","契约者"},0)),1+SUM(IFERROR(BUFF层数乘数*VLOOKUP(BUFF,BUFF表[],MATCH("MOD属性",BUFF表[#Headers],0),0),0)),1)*MIN(1,($J13+1)/IF($G13="金",11,IF($G13="绿",4,6)))*_xlpm.x,_xlpm.x))),"")</f>
        <v>0.89584</v>
      </c>
      <c r="P13" s="68" t="str" cm="1">
        <f t="array" ref="P13">IFERROR(INDEX(角色MOD表[#Headers],SMALL(_xlfn._xlws.FILTER(COLUMN(_xlfn.DROP(INDEX(角色MOD表[],MATCH($E13,角色MOD表[名称],0),),,MATCH("耐受",角色MOD表[#Headers],0)))*(_xlfn.DROP(INDEX(角色MOD表[],MATCH($E13,角色MOD表[名称],0),),,6)&lt;&gt;""),COLUMN(_xlfn.DROP(INDEX(角色MOD表[],MATCH($E13,角色MOD表[名称],0),),,MATCH("耐受",角色MOD表[#Headers],0)))*(_xlfn.DROP(INDEX(角色MOD表[],MATCH($E13,角色MOD表[名称],0),),,6)&lt;&gt;"")&lt;&gt;0),ROUNDUP(COLUMNS($L13:P13)/2,0))),"")</f>
        <v/>
      </c>
      <c r="Q13" s="78" t="str" cm="1">
        <f t="array" ref="Q13">IFERROR(_xlfn.MAP(INDEX(INDEX(角色MOD表[],MATCH($E13,角色MOD表[名称],0),),SMALL(_xlfn._xlws.FILTER(COLUMN(_xlfn.DROP(INDEX(角色MOD表[],MATCH($E13,角色MOD表[名称],0),),,MATCH("耐受",角色MOD表[#Headers],0)))*(_xlfn.DROP(INDEX(角色MOD表[],MATCH($E13,角色MOD表[名称],0),),,MATCH("耐受",角色MOD表[#Headers],0))&lt;&gt;""),COLUMN(_xlfn.DROP(INDEX(角色MOD表[],MATCH($E13,角色MOD表[名称],0),),,MATCH("耐受",角色MOD表[#Headers],0)))*(_xlfn.DROP(INDEX(角色MOD表[],MATCH($E13,角色MOD表[名称],0),),,MATCH("耐受",角色MOD表[#Headers],0))&lt;&gt;"")&lt;&gt;0),ROUNDUP(COLUMNS($L13:P13)/2,0))),_xlfn.LAMBDA(_xlpm.x,IFERROR(IF(ISNUMBER(MATCH($F13,{"百首","狮鹫","契约者"},0)),1+SUM(IFERROR(BUFF层数乘数*VLOOKUP(BUFF,BUFF表[],MATCH("MOD属性",BUFF表[#Headers],0),0),0)),1)*MIN(1,($J13+1)/IF($G13="金",11,IF($G13="绿",4,6)))*_xlpm.x,_xlpm.x))),"")</f>
        <v/>
      </c>
      <c r="R13" s="68" t="str" cm="1">
        <f t="array" ref="R13">IFERROR(INDEX(角色MOD表[#Headers],SMALL(_xlfn._xlws.FILTER(COLUMN(_xlfn.DROP(INDEX(角色MOD表[],MATCH($E13,角色MOD表[名称],0),),,MATCH("耐受",角色MOD表[#Headers],0)))*(_xlfn.DROP(INDEX(角色MOD表[],MATCH($E13,角色MOD表[名称],0),),,6)&lt;&gt;""),COLUMN(_xlfn.DROP(INDEX(角色MOD表[],MATCH($E13,角色MOD表[名称],0),),,MATCH("耐受",角色MOD表[#Headers],0)))*(_xlfn.DROP(INDEX(角色MOD表[],MATCH($E13,角色MOD表[名称],0),),,6)&lt;&gt;"")&lt;&gt;0),ROUNDUP(COLUMNS($L13:R13)/2,0))),"")</f>
        <v/>
      </c>
      <c r="S13" s="78" t="str" cm="1">
        <f t="array" ref="S13">IFERROR(_xlfn.MAP(INDEX(INDEX(角色MOD表[],MATCH($E13,角色MOD表[名称],0),),SMALL(_xlfn._xlws.FILTER(COLUMN(_xlfn.DROP(INDEX(角色MOD表[],MATCH($E13,角色MOD表[名称],0),),,MATCH("耐受",角色MOD表[#Headers],0)))*(_xlfn.DROP(INDEX(角色MOD表[],MATCH($E13,角色MOD表[名称],0),),,MATCH("耐受",角色MOD表[#Headers],0))&lt;&gt;""),COLUMN(_xlfn.DROP(INDEX(角色MOD表[],MATCH($E13,角色MOD表[名称],0),),,MATCH("耐受",角色MOD表[#Headers],0)))*(_xlfn.DROP(INDEX(角色MOD表[],MATCH($E13,角色MOD表[名称],0),),,MATCH("耐受",角色MOD表[#Headers],0))&lt;&gt;"")&lt;&gt;0),ROUNDUP(COLUMNS($L13:R13)/2,0))),_xlfn.LAMBDA(_xlpm.x,IFERROR(IF(ISNUMBER(MATCH($F13,{"百首","狮鹫","契约者"},0)),1+SUM(IFERROR(BUFF层数乘数*VLOOKUP(BUFF,BUFF表[],MATCH("MOD属性",BUFF表[#Headers],0),0),0)),1)*MIN(1,($J13+1)/IF($G13="金",11,IF($G13="绿",4,6)))*_xlpm.x,_xlpm.x))),"")</f>
        <v/>
      </c>
      <c r="T13" s="20" cm="1">
        <f t="array" ref="T13">X13*SUM(B$24*U13,B$26*V13,B$25*W13,B$27)*昂扬背水乘区(AB13,AC13)*SUM(1,AD13,AE13)*(1-敌方抗性+AF13)*(1+AG13)/IF($A$39="DPMP",ROUNDUP($B$30*(2-Z13),0),1)/IF($A$39="DPSMP",ROUNDUP($B$31*MAX(0.25,(2-Z13)/Y13),0),1)*防御乘区(AH13)</f>
        <v>768463.32430976</v>
      </c>
      <c r="U13" s="20" cm="1">
        <f t="array" ref="U13">删MOD取角色属性(U$6,ROWS($J$7:$J13))*(1+删MOD取角色属性("属性伤",ROWS($J$7:$J13)))</f>
        <v>5616.38753562546</v>
      </c>
      <c r="V13" s="20" cm="1">
        <f t="array" ref="V13">删MOD取角色属性(V$6,ROWS($J$7:$J13))</f>
        <v>3388.65048</v>
      </c>
      <c r="W13" s="20" cm="1">
        <f t="array" ref="W13">删MOD取角色属性(W$6,ROWS($J$7:$J13))</f>
        <v>971.49024</v>
      </c>
      <c r="X13" s="23" cm="1">
        <f t="array" ref="X13">删MOD取角色属性(X$6,ROWS($J$7:$J13))</f>
        <v>7.56762</v>
      </c>
      <c r="Y13" s="23" cm="1">
        <f t="array" ref="Y13">删MOD取角色属性(Y$6,ROWS($J$7:$J13))</f>
        <v>1.2</v>
      </c>
      <c r="Z13" s="23" cm="1">
        <f t="array" ref="Z13">删MOD取角色属性(Z$6,ROWS($J$7:$J13))</f>
        <v>0</v>
      </c>
      <c r="AA13" s="23" cm="1">
        <f t="array" ref="AA13">删MOD取角色属性(AA$6,ROWS($J$7:$J13))</f>
        <v>1.33594</v>
      </c>
      <c r="AB13" s="23" cm="1">
        <f t="array" ref="AB13">删MOD取角色属性(AB$6,ROWS($J$7:$J13))</f>
        <v>0</v>
      </c>
      <c r="AC13" s="23" cm="1">
        <f t="array" ref="AC13">删MOD取角色属性(AC$6,ROWS($J$7:$J13))</f>
        <v>0.83008</v>
      </c>
      <c r="AD13" s="23" cm="1">
        <f t="array" ref="AD13">删MOD取角色属性(AD$6,ROWS($J$7:$J13))</f>
        <v>2.25</v>
      </c>
      <c r="AE13" s="23" cm="1">
        <f t="array" ref="AE13">删MOD取角色属性(AE$6,ROWS($J$7:$J13))</f>
        <v>0</v>
      </c>
      <c r="AF13" s="23" cm="1">
        <f t="array" ref="AF13">删MOD取角色属性(AF$6,ROWS($J$7:$J13))</f>
        <v>0.24</v>
      </c>
      <c r="AG13" s="23" cm="1">
        <f t="array" ref="AG13">删MOD取角色属性(AG$6,ROWS($J$7:$J13))</f>
        <v>0</v>
      </c>
      <c r="AH13" s="23" cm="1">
        <f t="array" ref="AH13">删MOD取角色属性(AH$6,ROWS($J$7:$J13))</f>
        <v>0</v>
      </c>
      <c r="AV13" t="str">
        <v>全盛·振奋</v>
      </c>
      <c r="AW13" t="str">
        <v>迅捷坠击</v>
      </c>
      <c r="AX13" t="str">
        <v>重压·箭匣</v>
      </c>
    </row>
    <row r="14" spans="1:50">
      <c r="A14" s="68" t="s">
        <v>63</v>
      </c>
      <c r="B14" s="78">
        <f>1+IFERROR(VLOOKUP($B$3,角色表[],MATCH(A14,角色表[#Headers],0),0),0)</f>
        <v>1</v>
      </c>
      <c r="C14" s="78" cm="1">
        <f t="array" ref="C14">取角色总属性(A14)</f>
        <v>0</v>
      </c>
      <c r="D14" s="76">
        <f t="shared" si="0"/>
        <v>0.14976834378049</v>
      </c>
      <c r="E14" s="69" t="s">
        <v>12</v>
      </c>
      <c r="F14" s="93" t="str">
        <f>IFERROR(VLOOKUP($E14,角色MOD表[],MATCH(F$6,角色MOD表[#Headers],0),0),"")</f>
        <v>契约者</v>
      </c>
      <c r="G14" s="94" t="str">
        <f>IFERROR(VLOOKUP($E14,角色MOD表[],MATCH(G$6,角色MOD表[#Headers],0),0),"")</f>
        <v>金</v>
      </c>
      <c r="H14" s="93" t="str">
        <f>IFERROR(VLOOKUP($E14,角色MOD表[],MATCH(H$6,角色MOD表[#Headers],0),0),"")&amp;""</f>
        <v>V</v>
      </c>
      <c r="I14" s="93">
        <f>IF(AND(K14&lt;&gt;"",H14&lt;&gt;""),ROUNDUP(IF(H14=K14,IFERROR(VLOOKUP($E14,角色MOD表[],6,0)+$J14-IF($G14="金",10,IF($G14="绿",3,5)),0)/2,IFERROR(VLOOKUP($E14,角色MOD表[],6,0)+$J14-IF($G14="金",10,IF($G14="绿",3,5)),0)*1.5),0),IFERROR(VLOOKUP($E14,角色MOD表[],6,0)+$J14-IF($G14="金",10,IF($G14="绿",3,5)),0))</f>
        <v>20</v>
      </c>
      <c r="J14" s="106">
        <v>10</v>
      </c>
      <c r="K14" s="69"/>
      <c r="L14" s="68" t="str" cm="1">
        <f t="array" ref="L14">IFERROR(INDEX(角色MOD表[#Headers],SMALL(_xlfn._xlws.FILTER(COLUMN(_xlfn.DROP(INDEX(角色MOD表[],MATCH($E14,角色MOD表[名称],0),),,MATCH("耐受",角色MOD表[#Headers],0)))*(_xlfn.DROP(INDEX(角色MOD表[],MATCH($E14,角色MOD表[名称],0),),,6)&lt;&gt;""),COLUMN(_xlfn.DROP(INDEX(角色MOD表[],MATCH($E14,角色MOD表[名称],0),),,MATCH("耐受",角色MOD表[#Headers],0)))*(_xlfn.DROP(INDEX(角色MOD表[],MATCH($E14,角色MOD表[名称],0),),,6)&lt;&gt;"")&lt;&gt;0),ROUNDUP(COLUMNS($L14:L14)/2,0))),"")</f>
        <v>威力</v>
      </c>
      <c r="M14" s="78" cm="1">
        <f t="array" ref="M14">IFERROR(_xlfn.MAP(INDEX(INDEX(角色MOD表[],MATCH($E14,角色MOD表[名称],0),),SMALL(_xlfn._xlws.FILTER(COLUMN(_xlfn.DROP(INDEX(角色MOD表[],MATCH($E14,角色MOD表[名称],0),),,MATCH("耐受",角色MOD表[#Headers],0)))*(_xlfn.DROP(INDEX(角色MOD表[],MATCH($E14,角色MOD表[名称],0),),,MATCH("耐受",角色MOD表[#Headers],0))&lt;&gt;""),COLUMN(_xlfn.DROP(INDEX(角色MOD表[],MATCH($E14,角色MOD表[名称],0),),,MATCH("耐受",角色MOD表[#Headers],0)))*(_xlfn.DROP(INDEX(角色MOD表[],MATCH($E14,角色MOD表[名称],0),),,MATCH("耐受",角色MOD表[#Headers],0))&lt;&gt;"")&lt;&gt;0),ROUNDUP(COLUMNS($L14:L14)/2,0))),_xlfn.LAMBDA(_xlpm.x,IFERROR(IF(ISNUMBER(MATCH($F14,{"百首","狮鹫","契约者"},0)),1+SUM(IFERROR(BUFF层数乘数*VLOOKUP(BUFF,BUFF表[],MATCH("MOD属性",BUFF表[#Headers],0),0),0)),1)*MIN(1,($J14+1)/IF($G14="金",11,IF($G14="绿",4,6)))*_xlpm.x,_xlpm.x))),"")</f>
        <v>0.44792</v>
      </c>
      <c r="N14" s="68" t="str" cm="1">
        <f t="array" ref="N14">IFERROR(INDEX(角色MOD表[#Headers],SMALL(_xlfn._xlws.FILTER(COLUMN(_xlfn.DROP(INDEX(角色MOD表[],MATCH($E14,角色MOD表[名称],0),),,MATCH("耐受",角色MOD表[#Headers],0)))*(_xlfn.DROP(INDEX(角色MOD表[],MATCH($E14,角色MOD表[名称],0),),,6)&lt;&gt;""),COLUMN(_xlfn.DROP(INDEX(角色MOD表[],MATCH($E14,角色MOD表[名称],0),),,MATCH("耐受",角色MOD表[#Headers],0)))*(_xlfn.DROP(INDEX(角色MOD表[],MATCH($E14,角色MOD表[名称],0),),,6)&lt;&gt;"")&lt;&gt;0),ROUNDUP(COLUMNS($L14:N14)/2,0))),"")</f>
        <v>攻击</v>
      </c>
      <c r="O14" s="78" cm="1">
        <f t="array" ref="O14">IFERROR(_xlfn.MAP(INDEX(INDEX(角色MOD表[],MATCH($E14,角色MOD表[名称],0),),SMALL(_xlfn._xlws.FILTER(COLUMN(_xlfn.DROP(INDEX(角色MOD表[],MATCH($E14,角色MOD表[名称],0),),,MATCH("耐受",角色MOD表[#Headers],0)))*(_xlfn.DROP(INDEX(角色MOD表[],MATCH($E14,角色MOD表[名称],0),),,MATCH("耐受",角色MOD表[#Headers],0))&lt;&gt;""),COLUMN(_xlfn.DROP(INDEX(角色MOD表[],MATCH($E14,角色MOD表[名称],0),),,MATCH("耐受",角色MOD表[#Headers],0)))*(_xlfn.DROP(INDEX(角色MOD表[],MATCH($E14,角色MOD表[名称],0),),,MATCH("耐受",角色MOD表[#Headers],0))&lt;&gt;"")&lt;&gt;0),ROUNDUP(COLUMNS($L14:N14)/2,0))),_xlfn.LAMBDA(_xlpm.x,IFERROR(IF(ISNUMBER(MATCH($F14,{"百首","狮鹫","契约者"},0)),1+SUM(IFERROR(BUFF层数乘数*VLOOKUP(BUFF,BUFF表[],MATCH("MOD属性",BUFF表[#Headers],0),0),0)),1)*MIN(1,($J14+1)/IF($G14="金",11,IF($G14="绿",4,6)))*_xlpm.x,_xlpm.x))),"")</f>
        <v>0.89584</v>
      </c>
      <c r="P14" s="68" t="str" cm="1">
        <f t="array" ref="P14">IFERROR(INDEX(角色MOD表[#Headers],SMALL(_xlfn._xlws.FILTER(COLUMN(_xlfn.DROP(INDEX(角色MOD表[],MATCH($E14,角色MOD表[名称],0),),,MATCH("耐受",角色MOD表[#Headers],0)))*(_xlfn.DROP(INDEX(角色MOD表[],MATCH($E14,角色MOD表[名称],0),),,6)&lt;&gt;""),COLUMN(_xlfn.DROP(INDEX(角色MOD表[],MATCH($E14,角色MOD表[名称],0),),,MATCH("耐受",角色MOD表[#Headers],0)))*(_xlfn.DROP(INDEX(角色MOD表[],MATCH($E14,角色MOD表[名称],0),),,6)&lt;&gt;"")&lt;&gt;0),ROUNDUP(COLUMNS($L14:P14)/2,0))),"")</f>
        <v/>
      </c>
      <c r="Q14" s="78" t="str" cm="1">
        <f t="array" ref="Q14">IFERROR(_xlfn.MAP(INDEX(INDEX(角色MOD表[],MATCH($E14,角色MOD表[名称],0),),SMALL(_xlfn._xlws.FILTER(COLUMN(_xlfn.DROP(INDEX(角色MOD表[],MATCH($E14,角色MOD表[名称],0),),,MATCH("耐受",角色MOD表[#Headers],0)))*(_xlfn.DROP(INDEX(角色MOD表[],MATCH($E14,角色MOD表[名称],0),),,MATCH("耐受",角色MOD表[#Headers],0))&lt;&gt;""),COLUMN(_xlfn.DROP(INDEX(角色MOD表[],MATCH($E14,角色MOD表[名称],0),),,MATCH("耐受",角色MOD表[#Headers],0)))*(_xlfn.DROP(INDEX(角色MOD表[],MATCH($E14,角色MOD表[名称],0),),,MATCH("耐受",角色MOD表[#Headers],0))&lt;&gt;"")&lt;&gt;0),ROUNDUP(COLUMNS($L14:P14)/2,0))),_xlfn.LAMBDA(_xlpm.x,IFERROR(IF(ISNUMBER(MATCH($F14,{"百首","狮鹫","契约者"},0)),1+SUM(IFERROR(BUFF层数乘数*VLOOKUP(BUFF,BUFF表[],MATCH("MOD属性",BUFF表[#Headers],0),0),0)),1)*MIN(1,($J14+1)/IF($G14="金",11,IF($G14="绿",4,6)))*_xlpm.x,_xlpm.x))),"")</f>
        <v/>
      </c>
      <c r="R14" s="68" t="str" cm="1">
        <f t="array" ref="R14">IFERROR(INDEX(角色MOD表[#Headers],SMALL(_xlfn._xlws.FILTER(COLUMN(_xlfn.DROP(INDEX(角色MOD表[],MATCH($E14,角色MOD表[名称],0),),,MATCH("耐受",角色MOD表[#Headers],0)))*(_xlfn.DROP(INDEX(角色MOD表[],MATCH($E14,角色MOD表[名称],0),),,6)&lt;&gt;""),COLUMN(_xlfn.DROP(INDEX(角色MOD表[],MATCH($E14,角色MOD表[名称],0),),,MATCH("耐受",角色MOD表[#Headers],0)))*(_xlfn.DROP(INDEX(角色MOD表[],MATCH($E14,角色MOD表[名称],0),),,6)&lt;&gt;"")&lt;&gt;0),ROUNDUP(COLUMNS($L14:R14)/2,0))),"")</f>
        <v/>
      </c>
      <c r="S14" s="78" t="str" cm="1">
        <f t="array" ref="S14">IFERROR(_xlfn.MAP(INDEX(INDEX(角色MOD表[],MATCH($E14,角色MOD表[名称],0),),SMALL(_xlfn._xlws.FILTER(COLUMN(_xlfn.DROP(INDEX(角色MOD表[],MATCH($E14,角色MOD表[名称],0),),,MATCH("耐受",角色MOD表[#Headers],0)))*(_xlfn.DROP(INDEX(角色MOD表[],MATCH($E14,角色MOD表[名称],0),),,MATCH("耐受",角色MOD表[#Headers],0))&lt;&gt;""),COLUMN(_xlfn.DROP(INDEX(角色MOD表[],MATCH($E14,角色MOD表[名称],0),),,MATCH("耐受",角色MOD表[#Headers],0)))*(_xlfn.DROP(INDEX(角色MOD表[],MATCH($E14,角色MOD表[名称],0),),,MATCH("耐受",角色MOD表[#Headers],0))&lt;&gt;"")&lt;&gt;0),ROUNDUP(COLUMNS($L14:R14)/2,0))),_xlfn.LAMBDA(_xlpm.x,IFERROR(IF(ISNUMBER(MATCH($F14,{"百首","狮鹫","契约者"},0)),1+SUM(IFERROR(BUFF层数乘数*VLOOKUP(BUFF,BUFF表[],MATCH("MOD属性",BUFF表[#Headers],0),0),0)),1)*MIN(1,($J14+1)/IF($G14="金",11,IF($G14="绿",4,6)))*_xlpm.x,_xlpm.x))),"")</f>
        <v/>
      </c>
      <c r="T14" s="20" cm="1">
        <f t="array" ref="T14">X14*SUM(B$24*U14,B$26*V14,B$25*W14,B$27)*昂扬背水乘区(AB14,AC14)*SUM(1,AD14,AE14)*(1-敌方抗性+AF14)*(1+AG14)/IF($A$39="DPMP",ROUNDUP($B$30*(2-Z14),0),1)/IF($A$39="DPSMP",ROUNDUP($B$31*MAX(0.25,(2-Z14)/Y14),0),1)*防御乘区(AH14)</f>
        <v>768463.32430976</v>
      </c>
      <c r="U14" s="20" cm="1">
        <f t="array" ref="U14">删MOD取角色属性(U$6,ROWS($J$7:$J14))*(1+删MOD取角色属性("属性伤",ROWS($J$7:$J14)))</f>
        <v>5616.38753562546</v>
      </c>
      <c r="V14" s="20" cm="1">
        <f t="array" ref="V14">删MOD取角色属性(V$6,ROWS($J$7:$J14))</f>
        <v>3388.65048</v>
      </c>
      <c r="W14" s="20" cm="1">
        <f t="array" ref="W14">删MOD取角色属性(W$6,ROWS($J$7:$J14))</f>
        <v>971.49024</v>
      </c>
      <c r="X14" s="23" cm="1">
        <f t="array" ref="X14">删MOD取角色属性(X$6,ROWS($J$7:$J14))</f>
        <v>7.56762</v>
      </c>
      <c r="Y14" s="23" cm="1">
        <f t="array" ref="Y14">删MOD取角色属性(Y$6,ROWS($J$7:$J14))</f>
        <v>1.2</v>
      </c>
      <c r="Z14" s="23" cm="1">
        <f t="array" ref="Z14">删MOD取角色属性(Z$6,ROWS($J$7:$J14))</f>
        <v>0</v>
      </c>
      <c r="AA14" s="23" cm="1">
        <f t="array" ref="AA14">删MOD取角色属性(AA$6,ROWS($J$7:$J14))</f>
        <v>1.33594</v>
      </c>
      <c r="AB14" s="23" cm="1">
        <f t="array" ref="AB14">删MOD取角色属性(AB$6,ROWS($J$7:$J14))</f>
        <v>0</v>
      </c>
      <c r="AC14" s="23" cm="1">
        <f t="array" ref="AC14">删MOD取角色属性(AC$6,ROWS($J$7:$J14))</f>
        <v>0.83008</v>
      </c>
      <c r="AD14" s="23" cm="1">
        <f t="array" ref="AD14">删MOD取角色属性(AD$6,ROWS($J$7:$J14))</f>
        <v>2.25</v>
      </c>
      <c r="AE14" s="23" cm="1">
        <f t="array" ref="AE14">删MOD取角色属性(AE$6,ROWS($J$7:$J14))</f>
        <v>0</v>
      </c>
      <c r="AF14" s="23" cm="1">
        <f t="array" ref="AF14">删MOD取角色属性(AF$6,ROWS($J$7:$J14))</f>
        <v>0.24</v>
      </c>
      <c r="AG14" s="23" cm="1">
        <f t="array" ref="AG14">删MOD取角色属性(AG$6,ROWS($J$7:$J14))</f>
        <v>0</v>
      </c>
      <c r="AH14" s="23" cm="1">
        <f t="array" ref="AH14">删MOD取角色属性(AH$6,ROWS($J$7:$J14))</f>
        <v>0</v>
      </c>
      <c r="AV14" t="str">
        <v>炽灼·决断</v>
      </c>
      <c r="AW14" t="str">
        <v>迅捷蓄势</v>
      </c>
      <c r="AX14" t="str">
        <v>专注·厚重</v>
      </c>
    </row>
    <row r="15" spans="1:50">
      <c r="A15" s="68" t="s">
        <v>64</v>
      </c>
      <c r="B15" s="78">
        <f>1+IFERROR(VLOOKUP($B$3,角色表[],MATCH(A15,角色表[#Headers],0),0),0)</f>
        <v>1</v>
      </c>
      <c r="C15" s="78" cm="1">
        <f t="array" ref="C15">取角色总属性(A15)</f>
        <v>1.33594</v>
      </c>
      <c r="D15" s="79" cm="1">
        <f t="array" ref="D15">PRODUCT(D7:D14+1)-1</f>
        <v>3.32068947700649</v>
      </c>
      <c r="E15" s="95" t="s">
        <v>50</v>
      </c>
      <c r="F15" s="96" t="str">
        <f>SUM(7,I7:I14)&amp;"/117"</f>
        <v>155/117</v>
      </c>
      <c r="G15" s="97"/>
      <c r="H15" s="97"/>
      <c r="I15" s="107"/>
      <c r="J15" s="95" t="s">
        <v>86</v>
      </c>
      <c r="K15" s="108">
        <f>LEN(_xlfn.CONCAT(K7:K14))</f>
        <v>0</v>
      </c>
      <c r="L15" s="95" t="s">
        <v>87</v>
      </c>
      <c r="M15" s="109" t="s">
        <v>88</v>
      </c>
      <c r="AV15" t="str">
        <v>羽翼·永恒</v>
      </c>
      <c r="AW15" t="str">
        <v>迅捷闪击</v>
      </c>
      <c r="AX15" t="str">
        <v>迅捷·狡黠</v>
      </c>
    </row>
    <row r="16" spans="1:50">
      <c r="A16" s="68" t="s">
        <v>65</v>
      </c>
      <c r="B16" s="78">
        <f>IFERROR(VLOOKUP($B$3,角色表[],MATCH(A16,角色表[#Headers],0),0),0)</f>
        <v>0</v>
      </c>
      <c r="C16" s="78" cm="1">
        <f t="array" ref="C16">取角色总属性(A16)</f>
        <v>0</v>
      </c>
      <c r="D16" s="80" t="s">
        <v>89</v>
      </c>
      <c r="E16" s="98" t="str" cm="1">
        <f ca="1" t="array" ref="E16">_xlfn.TEXTJOIN("",1,"C",IFERROR(INDEX(代码表[代码],MATCH(B3,代码表[名称],0),0),"0000"),_xlfn.MAP(_xlfn.VSTACK(_xlfn.MAP(TRANSPOSE({1,4,2,3,5,8,6,7}),_xlfn.LAMBDA(_xlpm.x,ADDRESS(ROW()-10+_xlpm.x,COLUMN()))),"M15"),_xlfn.LAMBDA(_xlpm.x,IFERROR(INDEX(#REF!,MATCH(1,((代码表[属性]=B6)+(代码表[属性]=""))*((代码表[品质]=OFFSET(INDIRECT(_xlpm.x),0,2))+(OFFSET(INDIRECT(_xlpm.x),0,2)=""))*(代码表[名称]=IF(ISNUMBER(FIND("(",INDIRECT(_xlpm.x))),LEFT(INDIRECT(_xlpm.x),FIND("(",INDIRECT(_xlpm.x))-1),INDIRECT(_xlpm.x))),0),MATCH("代码",代码表[#Headers],0)),"0000"))))</f>
        <v>C0439000000000000000000000000000000000000</v>
      </c>
      <c r="F16" s="99"/>
      <c r="G16" s="99"/>
      <c r="H16" s="99"/>
      <c r="I16" s="99"/>
      <c r="J16" s="99"/>
      <c r="K16" s="99"/>
      <c r="L16" s="99"/>
      <c r="M16" s="110"/>
      <c r="AV16" t="str">
        <v>炽灼·背水</v>
      </c>
      <c r="AW16" t="str">
        <v>残影</v>
      </c>
      <c r="AX16" t="str">
        <v>整备</v>
      </c>
    </row>
    <row r="17" customFormat="1" spans="1:50">
      <c r="A17" s="68" t="s">
        <v>66</v>
      </c>
      <c r="B17" s="78">
        <f>IFERROR(VLOOKUP($B$3,角色表[],MATCH(A17,角色表[#Headers],0),0),0)</f>
        <v>0.05</v>
      </c>
      <c r="C17" s="78" cm="1">
        <f t="array" ref="C17">取角色总属性(A17)</f>
        <v>0.83008</v>
      </c>
      <c r="D17" s="81" t="s">
        <v>90</v>
      </c>
      <c r="E17" s="81"/>
      <c r="F17" s="81"/>
      <c r="G17" s="81"/>
      <c r="H17" s="81"/>
      <c r="I17" s="81"/>
      <c r="J17" s="81"/>
      <c r="K17" s="81"/>
      <c r="L17" s="81"/>
      <c r="M17" s="81"/>
      <c r="AV17" t="str">
        <v>炽灼·坚守</v>
      </c>
      <c r="AW17" t="str">
        <v>巡游</v>
      </c>
      <c r="AX17" t="str">
        <v>俭约</v>
      </c>
    </row>
    <row r="18" spans="1:50">
      <c r="A18" s="68" t="s">
        <v>67</v>
      </c>
      <c r="B18" s="78">
        <f>IFERROR(VLOOKUP($B$3,角色表[],MATCH(A18,角色表[#Headers],0),0),0)</f>
        <v>0</v>
      </c>
      <c r="C18" s="78" cm="1">
        <f t="array" ref="C18">取角色总属性(A18)</f>
        <v>2.25</v>
      </c>
      <c r="D18" s="82" t="s">
        <v>45</v>
      </c>
      <c r="E18" s="18" t="s">
        <v>46</v>
      </c>
      <c r="F18" s="20" t="s">
        <v>91</v>
      </c>
      <c r="G18" s="100" t="s">
        <v>53</v>
      </c>
      <c r="H18" s="101"/>
      <c r="I18" s="100" t="s">
        <v>54</v>
      </c>
      <c r="J18" s="101"/>
      <c r="K18" s="100" t="s">
        <v>55</v>
      </c>
      <c r="L18" s="101"/>
      <c r="M18" s="100" t="s">
        <v>56</v>
      </c>
      <c r="N18" s="101"/>
      <c r="O18" s="100" t="s">
        <v>92</v>
      </c>
      <c r="P18" s="111"/>
      <c r="Q18" s="111"/>
      <c r="R18" s="111"/>
      <c r="S18" s="101"/>
      <c r="T18" s="20" t="s">
        <v>57</v>
      </c>
      <c r="U18" s="20" t="s">
        <v>58</v>
      </c>
      <c r="V18" s="20" t="s">
        <v>59</v>
      </c>
      <c r="W18" s="20" t="s">
        <v>60</v>
      </c>
      <c r="X18" s="20" t="s">
        <v>61</v>
      </c>
      <c r="Y18" s="20" t="s">
        <v>62</v>
      </c>
      <c r="Z18" s="20" t="s">
        <v>63</v>
      </c>
      <c r="AA18" s="20" t="s">
        <v>64</v>
      </c>
      <c r="AB18" s="20" t="s">
        <v>65</v>
      </c>
      <c r="AC18" s="20" t="s">
        <v>66</v>
      </c>
      <c r="AD18" s="20" t="s">
        <v>67</v>
      </c>
      <c r="AE18" s="20" t="s">
        <v>68</v>
      </c>
      <c r="AF18" s="18" t="s">
        <v>69</v>
      </c>
      <c r="AG18" s="18" t="s">
        <v>70</v>
      </c>
      <c r="AH18" s="18" t="s">
        <v>71</v>
      </c>
      <c r="AV18" t="str">
        <v>羽翼·鼓舞</v>
      </c>
      <c r="AW18" t="str">
        <v>割裂</v>
      </c>
      <c r="AX18" t="str">
        <v>增速</v>
      </c>
    </row>
    <row r="19" spans="1:50">
      <c r="A19" s="83" t="s">
        <v>70</v>
      </c>
      <c r="B19" s="78">
        <v>0</v>
      </c>
      <c r="C19" s="78" cm="1">
        <f t="array" ref="C19">取角色总属性(A19)</f>
        <v>0</v>
      </c>
      <c r="D19" s="76">
        <f t="shared" ref="D19:D33" si="1">(B$39-T19)/T19</f>
        <v>0.377118644067797</v>
      </c>
      <c r="E19" s="69" t="s">
        <v>93</v>
      </c>
      <c r="F19" s="69"/>
      <c r="G19" s="102" t="str" cm="1">
        <f t="array" ref="G19">IFERROR(INDEX(BUFF表[#Headers],SMALL(_xlfn._xlws.FILTER(COLUMN(_xlfn.DROP(INDEX(BUFF表[],MATCH($E19,BUFF表[名称],0),),,MATCH("描述",BUFF表[#Headers],0)))*(_xlfn.DROP(INDEX(BUFF表[],MATCH($E19,BUFF表[名称],0),),,MATCH("描述",BUFF表[#Headers],0))&lt;&gt;""),COLUMN(_xlfn.DROP(INDEX(BUFF表[],MATCH($E19,BUFF表[名称],0),),,MATCH("描述",BUFF表[#Headers],0)))*(_xlfn.DROP(INDEX(BUFF表[],MATCH($E19,BUFF表[名称],0),),,MATCH("描述",BUFF表[#Headers],0))&lt;&gt;"")&lt;&gt;0),ROUNDUP(COLUMNS($G19:G19)/2,0))),"")</f>
        <v>增伤</v>
      </c>
      <c r="H19" s="103" cm="1">
        <f t="array" ref="H19">IFERROR(ROUND(IFERROR(1/VLOOKUP($E19,BUFF表[],MATCH("a",BUFF表[#Headers],0),0)*(1+1/VLOOKUP($E19,BUFF表[],MATCH("b",BUFF表[#Headers],0),0)*(IF($F19="",VLOOKUP($E19,BUFF表[],MATCH("dx",BUFF表[#Headers],0),0),$F19)-VLOOKUP($E19,BUFF表[],MATCH("lx",BUFF表[#Headers],0),0))),1)*INDEX(INDEX(BUFF表[],MATCH($E19,BUFF表[名称],0),),SMALL(_xlfn._xlws.FILTER(COLUMN(_xlfn.DROP(INDEX(BUFF表[],MATCH($E19,BUFF表[名称],0),),,MATCH("描述",BUFF表[#Headers],0)))*(_xlfn.DROP(INDEX(BUFF表[],MATCH($E19,BUFF表[名称],0),),,MATCH("描述",BUFF表[#Headers],0))&lt;&gt;""),COLUMN(_xlfn.DROP(INDEX(BUFF表[],MATCH($E19,BUFF表[名称],0),),,MATCH("描述",BUFF表[#Headers],0)))*(_xlfn.DROP(INDEX(BUFF表[],MATCH($E19,BUFF表[名称],0),),,MATCH("描述",BUFF表[#Headers],0))&lt;&gt;"")&lt;&gt;0),ROUNDUP(COLUMNS($G19:G19)/2,0))),3),"")</f>
        <v>0.89</v>
      </c>
      <c r="I19" s="102" t="str" cm="1">
        <f t="array" ref="I19">IFERROR(INDEX(BUFF表[#Headers],SMALL(_xlfn._xlws.FILTER(COLUMN(_xlfn.DROP(INDEX(BUFF表[],MATCH($E19,BUFF表[名称],0),),,MATCH("描述",BUFF表[#Headers],0)))*(_xlfn.DROP(INDEX(BUFF表[],MATCH($E19,BUFF表[名称],0),),,MATCH("描述",BUFF表[#Headers],0))&lt;&gt;""),COLUMN(_xlfn.DROP(INDEX(BUFF表[],MATCH($E19,BUFF表[名称],0),),,MATCH("描述",BUFF表[#Headers],0)))*(_xlfn.DROP(INDEX(BUFF表[],MATCH($E19,BUFF表[名称],0),),,MATCH("描述",BUFF表[#Headers],0))&lt;&gt;"")&lt;&gt;0),ROUNDUP(COLUMNS($G19:I19)/2,0))),"")</f>
        <v/>
      </c>
      <c r="J19" s="103" t="str" cm="1">
        <f t="array" ref="J19">IFERROR(ROUND(IFERROR(1/VLOOKUP($E19,BUFF表[],MATCH("a",BUFF表[#Headers],0),0)*(1+1/VLOOKUP($E19,BUFF表[],MATCH("b",BUFF表[#Headers],0),0)*(IF($F19="",VLOOKUP($E19,BUFF表[],MATCH("dx",BUFF表[#Headers],0),0),$F19)-VLOOKUP($E19,BUFF表[],MATCH("lx",BUFF表[#Headers],0),0))),1)*INDEX(INDEX(BUFF表[],MATCH($E19,BUFF表[名称],0),),SMALL(_xlfn._xlws.FILTER(COLUMN(_xlfn.DROP(INDEX(BUFF表[],MATCH($E19,BUFF表[名称],0),),,MATCH("描述",BUFF表[#Headers],0)))*(_xlfn.DROP(INDEX(BUFF表[],MATCH($E19,BUFF表[名称],0),),,MATCH("描述",BUFF表[#Headers],0))&lt;&gt;""),COLUMN(_xlfn.DROP(INDEX(BUFF表[],MATCH($E19,BUFF表[名称],0),),,MATCH("描述",BUFF表[#Headers],0)))*(_xlfn.DROP(INDEX(BUFF表[],MATCH($E19,BUFF表[名称],0),),,MATCH("描述",BUFF表[#Headers],0))&lt;&gt;"")&lt;&gt;0),ROUNDUP(COLUMNS($G19:I19)/2,0))),3),"")</f>
        <v/>
      </c>
      <c r="K19" s="102" t="str" cm="1">
        <f t="array" ref="K19">IFERROR(INDEX(BUFF表[#Headers],SMALL(_xlfn._xlws.FILTER(COLUMN(_xlfn.DROP(INDEX(BUFF表[],MATCH($E19,BUFF表[名称],0),),,MATCH("描述",BUFF表[#Headers],0)))*(_xlfn.DROP(INDEX(BUFF表[],MATCH($E19,BUFF表[名称],0),),,MATCH("描述",BUFF表[#Headers],0))&lt;&gt;""),COLUMN(_xlfn.DROP(INDEX(BUFF表[],MATCH($E19,BUFF表[名称],0),),,MATCH("描述",BUFF表[#Headers],0)))*(_xlfn.DROP(INDEX(BUFF表[],MATCH($E19,BUFF表[名称],0),),,MATCH("描述",BUFF表[#Headers],0))&lt;&gt;"")&lt;&gt;0),ROUNDUP(COLUMNS($G19:K19)/2,0))),"")</f>
        <v/>
      </c>
      <c r="L19" s="103" t="str" cm="1">
        <f t="array" ref="L19">IFERROR(ROUND(IFERROR(1/VLOOKUP($E19,BUFF表[],MATCH("a",BUFF表[#Headers],0),0)*(1+1/VLOOKUP($E19,BUFF表[],MATCH("b",BUFF表[#Headers],0),0)*(IF($F19="",VLOOKUP($E19,BUFF表[],MATCH("dx",BUFF表[#Headers],0),0),$F19)-VLOOKUP($E19,BUFF表[],MATCH("lx",BUFF表[#Headers],0),0))),1)*INDEX(INDEX(BUFF表[],MATCH($E19,BUFF表[名称],0),),SMALL(_xlfn._xlws.FILTER(COLUMN(_xlfn.DROP(INDEX(BUFF表[],MATCH($E19,BUFF表[名称],0),),,MATCH("描述",BUFF表[#Headers],0)))*(_xlfn.DROP(INDEX(BUFF表[],MATCH($E19,BUFF表[名称],0),),,MATCH("描述",BUFF表[#Headers],0))&lt;&gt;""),COLUMN(_xlfn.DROP(INDEX(BUFF表[],MATCH($E19,BUFF表[名称],0),),,MATCH("描述",BUFF表[#Headers],0)))*(_xlfn.DROP(INDEX(BUFF表[],MATCH($E19,BUFF表[名称],0),),,MATCH("描述",BUFF表[#Headers],0))&lt;&gt;"")&lt;&gt;0),ROUNDUP(COLUMNS($G19:K19)/2,0))),3),"")</f>
        <v/>
      </c>
      <c r="M19" s="102" t="str" cm="1">
        <f t="array" ref="M19">IFERROR(INDEX(BUFF表[#Headers],SMALL(_xlfn._xlws.FILTER(COLUMN(_xlfn.DROP(INDEX(BUFF表[],MATCH($E19,BUFF表[名称],0),),,MATCH("描述",BUFF表[#Headers],0)))*(_xlfn.DROP(INDEX(BUFF表[],MATCH($E19,BUFF表[名称],0),),,MATCH("描述",BUFF表[#Headers],0))&lt;&gt;""),COLUMN(_xlfn.DROP(INDEX(BUFF表[],MATCH($E19,BUFF表[名称],0),),,MATCH("描述",BUFF表[#Headers],0)))*(_xlfn.DROP(INDEX(BUFF表[],MATCH($E19,BUFF表[名称],0),),,MATCH("描述",BUFF表[#Headers],0))&lt;&gt;"")&lt;&gt;0),ROUNDUP(COLUMNS($G19:M19)/2,0))),"")</f>
        <v/>
      </c>
      <c r="N19" s="103" t="str" cm="1">
        <f t="array" ref="N19">IFERROR(ROUND(IFERROR(1/VLOOKUP($E19,BUFF表[],MATCH("a",BUFF表[#Headers],0),0)*(1+1/VLOOKUP($E19,BUFF表[],MATCH("b",BUFF表[#Headers],0),0)*(IF($F19="",VLOOKUP($E19,BUFF表[],MATCH("dx",BUFF表[#Headers],0),0),$F19)-VLOOKUP($E19,BUFF表[],MATCH("lx",BUFF表[#Headers],0),0))),1)*INDEX(INDEX(BUFF表[],MATCH($E19,BUFF表[名称],0),),SMALL(_xlfn._xlws.FILTER(COLUMN(_xlfn.DROP(INDEX(BUFF表[],MATCH($E19,BUFF表[名称],0),),,MATCH("描述",BUFF表[#Headers],0)))*(_xlfn.DROP(INDEX(BUFF表[],MATCH($E19,BUFF表[名称],0),),,MATCH("描述",BUFF表[#Headers],0))&lt;&gt;""),COLUMN(_xlfn.DROP(INDEX(BUFF表[],MATCH($E19,BUFF表[名称],0),),,MATCH("描述",BUFF表[#Headers],0)))*(_xlfn.DROP(INDEX(BUFF表[],MATCH($E19,BUFF表[名称],0),),,MATCH("描述",BUFF表[#Headers],0))&lt;&gt;"")&lt;&gt;0),ROUNDUP(COLUMNS($G19:M19)/2,0))),3),"")</f>
        <v/>
      </c>
      <c r="O19" s="100" t="str">
        <f>IFERROR(VLOOKUP(E19,BUFF表[],MATCH("描述",BUFF表[#Headers],0),0),"")</f>
        <v>附加造成伤害提高效果。</v>
      </c>
      <c r="P19" s="111"/>
      <c r="Q19" s="111"/>
      <c r="R19" s="111"/>
      <c r="S19" s="101"/>
      <c r="T19" s="20" cm="1">
        <f t="array" ref="T19">X19*SUM(B$24*U19,B$26*V19,B$25*W19,B$27)*昂扬背水乘区(AB19,AC19)*SUM(1,AD19,AE19)*(1-敌方抗性+AF19)*(1+AG19)/IF($A$39="DPMP",ROUNDUP($B$30*(2-Z19),0),1)/IF($A$39="DPSMP",ROUNDUP($B$31*MAX(0.25,(2-Z19)/Y19),0),1)*防御乘区(AH19)</f>
        <v>641596.718956471</v>
      </c>
      <c r="U19" s="20" cm="1">
        <f t="array" ref="U19">删BUFF取角色属性(U$18,ROWS($E$19:$E19))*(1+删BUFF取角色属性("属性伤",ROWS($E$19:$E19)))</f>
        <v>6096.68763763837</v>
      </c>
      <c r="V19" s="20" cm="1">
        <f t="array" ref="V19">删BUFF取角色属性(V$18,ROWS($E$19:$E19))</f>
        <v>3388.65048</v>
      </c>
      <c r="W19" s="20" cm="1">
        <f t="array" ref="W19">删BUFF取角色属性(W$18,ROWS($E$19:$E19))</f>
        <v>971.49024</v>
      </c>
      <c r="X19" s="23" cm="1">
        <f t="array" ref="X19">删BUFF取角色属性(X$18,ROWS($E$19:$E19))</f>
        <v>8.01554</v>
      </c>
      <c r="Y19" s="23" cm="1">
        <f t="array" ref="Y19">删BUFF取角色属性(Y$18,ROWS($E$19:$E19))</f>
        <v>1.2</v>
      </c>
      <c r="Z19" s="23" cm="1">
        <f t="array" ref="Z19">删BUFF取角色属性(Z$18,ROWS($E$19:$E19))</f>
        <v>0</v>
      </c>
      <c r="AA19" s="23" cm="1">
        <f t="array" ref="AA19">删BUFF取角色属性(AA$18,ROWS($E$19:$E19))</f>
        <v>1.33594</v>
      </c>
      <c r="AB19" s="23" cm="1">
        <f t="array" ref="AB19">删BUFF取角色属性(AB$18,ROWS($E$19:$E19))</f>
        <v>0</v>
      </c>
      <c r="AC19" s="23" cm="1">
        <f t="array" ref="AC19">删BUFF取角色属性(AC$18,ROWS($E$19:$E19))</f>
        <v>0.83008</v>
      </c>
      <c r="AD19" s="23" cm="1">
        <f t="array" ref="AD19">删BUFF取角色属性(AD$18,ROWS($E$19:$E19))</f>
        <v>1.36</v>
      </c>
      <c r="AE19" s="23" cm="1">
        <f t="array" ref="AE19">删BUFF取角色属性(AE$18,ROWS($E$19:$E19))</f>
        <v>0</v>
      </c>
      <c r="AF19" s="23" cm="1">
        <f t="array" ref="AF19">删BUFF取角色属性(AF$18,ROWS($E$19:$E19))</f>
        <v>0.24</v>
      </c>
      <c r="AG19" s="23" cm="1">
        <f t="array" ref="AG19">删BUFF取角色属性(AG$18,ROWS($E$19:$E19))</f>
        <v>0</v>
      </c>
      <c r="AH19" s="23" cm="1">
        <f t="array" ref="AH19">删BUFF取角色属性(AH$18,ROWS($E$19:$E19))</f>
        <v>0</v>
      </c>
      <c r="AV19" t="str">
        <v>薰风吐息</v>
      </c>
      <c r="AW19" t="str">
        <v>暴虐</v>
      </c>
      <c r="AX19" t="str">
        <v>失速</v>
      </c>
    </row>
    <row r="20" spans="1:50">
      <c r="A20" s="68" t="s">
        <v>94</v>
      </c>
      <c r="B20" s="78">
        <f>IFERROR(VLOOKUP($B$3,角色表[],MATCH(A20,角色表[#Headers],0),0),0)</f>
        <v>0</v>
      </c>
      <c r="C20" s="78" cm="1">
        <f t="array" ref="C20">取角色总属性(A20)</f>
        <v>0.5</v>
      </c>
      <c r="D20" s="76">
        <f t="shared" si="1"/>
        <v>0.00736335361296213</v>
      </c>
      <c r="E20" s="69"/>
      <c r="F20" s="69"/>
      <c r="G20" s="102" t="str" cm="1">
        <f t="array" ref="G20">IFERROR(INDEX(BUFF表[#Headers],SMALL(_xlfn._xlws.FILTER(COLUMN(_xlfn.DROP(INDEX(BUFF表[],MATCH($E20,BUFF表[名称],0),),,MATCH("描述",BUFF表[#Headers],0)))*(_xlfn.DROP(INDEX(BUFF表[],MATCH($E20,BUFF表[名称],0),),,MATCH("描述",BUFF表[#Headers],0))&lt;&gt;""),COLUMN(_xlfn.DROP(INDEX(BUFF表[],MATCH($E20,BUFF表[名称],0),),,MATCH("描述",BUFF表[#Headers],0)))*(_xlfn.DROP(INDEX(BUFF表[],MATCH($E20,BUFF表[名称],0),),,MATCH("描述",BUFF表[#Headers],0))&lt;&gt;"")&lt;&gt;0),ROUNDUP(COLUMNS($G20:G20)/2,0))),"")</f>
        <v/>
      </c>
      <c r="H20" s="103" t="str" cm="1">
        <f t="array" ref="H20">IFERROR(ROUND(IFERROR(1/VLOOKUP($E20,BUFF表[],MATCH("a",BUFF表[#Headers],0),0)*(1+1/VLOOKUP($E20,BUFF表[],MATCH("b",BUFF表[#Headers],0),0)*(IF($F20="",VLOOKUP($E20,BUFF表[],MATCH("dx",BUFF表[#Headers],0),0),$F20)-VLOOKUP($E20,BUFF表[],MATCH("lx",BUFF表[#Headers],0),0))),1)*INDEX(INDEX(BUFF表[],MATCH($E20,BUFF表[名称],0),),SMALL(_xlfn._xlws.FILTER(COLUMN(_xlfn.DROP(INDEX(BUFF表[],MATCH($E20,BUFF表[名称],0),),,MATCH("描述",BUFF表[#Headers],0)))*(_xlfn.DROP(INDEX(BUFF表[],MATCH($E20,BUFF表[名称],0),),,MATCH("描述",BUFF表[#Headers],0))&lt;&gt;""),COLUMN(_xlfn.DROP(INDEX(BUFF表[],MATCH($E20,BUFF表[名称],0),),,MATCH("描述",BUFF表[#Headers],0)))*(_xlfn.DROP(INDEX(BUFF表[],MATCH($E20,BUFF表[名称],0),),,MATCH("描述",BUFF表[#Headers],0))&lt;&gt;"")&lt;&gt;0),ROUNDUP(COLUMNS($G20:G20)/2,0))),3),"")</f>
        <v/>
      </c>
      <c r="I20" s="102" t="str" cm="1">
        <f t="array" ref="I20">IFERROR(INDEX(BUFF表[#Headers],SMALL(_xlfn._xlws.FILTER(COLUMN(_xlfn.DROP(INDEX(BUFF表[],MATCH($E20,BUFF表[名称],0),),,MATCH("描述",BUFF表[#Headers],0)))*(_xlfn.DROP(INDEX(BUFF表[],MATCH($E20,BUFF表[名称],0),),,MATCH("描述",BUFF表[#Headers],0))&lt;&gt;""),COLUMN(_xlfn.DROP(INDEX(BUFF表[],MATCH($E20,BUFF表[名称],0),),,MATCH("描述",BUFF表[#Headers],0)))*(_xlfn.DROP(INDEX(BUFF表[],MATCH($E20,BUFF表[名称],0),),,MATCH("描述",BUFF表[#Headers],0))&lt;&gt;"")&lt;&gt;0),ROUNDUP(COLUMNS($G20:I20)/2,0))),"")</f>
        <v/>
      </c>
      <c r="J20" s="103" t="str" cm="1">
        <f t="array" ref="J20">IFERROR(ROUND(IFERROR(1/VLOOKUP($E20,BUFF表[],MATCH("a",BUFF表[#Headers],0),0)*(1+1/VLOOKUP($E20,BUFF表[],MATCH("b",BUFF表[#Headers],0),0)*(IF($F20="",VLOOKUP($E20,BUFF表[],MATCH("dx",BUFF表[#Headers],0),0),$F20)-VLOOKUP($E20,BUFF表[],MATCH("lx",BUFF表[#Headers],0),0))),1)*INDEX(INDEX(BUFF表[],MATCH($E20,BUFF表[名称],0),),SMALL(_xlfn._xlws.FILTER(COLUMN(_xlfn.DROP(INDEX(BUFF表[],MATCH($E20,BUFF表[名称],0),),,MATCH("描述",BUFF表[#Headers],0)))*(_xlfn.DROP(INDEX(BUFF表[],MATCH($E20,BUFF表[名称],0),),,MATCH("描述",BUFF表[#Headers],0))&lt;&gt;""),COLUMN(_xlfn.DROP(INDEX(BUFF表[],MATCH($E20,BUFF表[名称],0),),,MATCH("描述",BUFF表[#Headers],0)))*(_xlfn.DROP(INDEX(BUFF表[],MATCH($E20,BUFF表[名称],0),),,MATCH("描述",BUFF表[#Headers],0))&lt;&gt;"")&lt;&gt;0),ROUNDUP(COLUMNS($G20:I20)/2,0))),3),"")</f>
        <v/>
      </c>
      <c r="K20" s="102" t="str" cm="1">
        <f t="array" ref="K20">IFERROR(INDEX(BUFF表[#Headers],SMALL(_xlfn._xlws.FILTER(COLUMN(_xlfn.DROP(INDEX(BUFF表[],MATCH($E20,BUFF表[名称],0),),,MATCH("描述",BUFF表[#Headers],0)))*(_xlfn.DROP(INDEX(BUFF表[],MATCH($E20,BUFF表[名称],0),),,MATCH("描述",BUFF表[#Headers],0))&lt;&gt;""),COLUMN(_xlfn.DROP(INDEX(BUFF表[],MATCH($E20,BUFF表[名称],0),),,MATCH("描述",BUFF表[#Headers],0)))*(_xlfn.DROP(INDEX(BUFF表[],MATCH($E20,BUFF表[名称],0),),,MATCH("描述",BUFF表[#Headers],0))&lt;&gt;"")&lt;&gt;0),ROUNDUP(COLUMNS($G20:K20)/2,0))),"")</f>
        <v/>
      </c>
      <c r="L20" s="103" t="str" cm="1">
        <f t="array" ref="L20">IFERROR(ROUND(IFERROR(1/VLOOKUP($E20,BUFF表[],MATCH("a",BUFF表[#Headers],0),0)*(1+1/VLOOKUP($E20,BUFF表[],MATCH("b",BUFF表[#Headers],0),0)*(IF($F20="",VLOOKUP($E20,BUFF表[],MATCH("dx",BUFF表[#Headers],0),0),$F20)-VLOOKUP($E20,BUFF表[],MATCH("lx",BUFF表[#Headers],0),0))),1)*INDEX(INDEX(BUFF表[],MATCH($E20,BUFF表[名称],0),),SMALL(_xlfn._xlws.FILTER(COLUMN(_xlfn.DROP(INDEX(BUFF表[],MATCH($E20,BUFF表[名称],0),),,MATCH("描述",BUFF表[#Headers],0)))*(_xlfn.DROP(INDEX(BUFF表[],MATCH($E20,BUFF表[名称],0),),,MATCH("描述",BUFF表[#Headers],0))&lt;&gt;""),COLUMN(_xlfn.DROP(INDEX(BUFF表[],MATCH($E20,BUFF表[名称],0),),,MATCH("描述",BUFF表[#Headers],0)))*(_xlfn.DROP(INDEX(BUFF表[],MATCH($E20,BUFF表[名称],0),),,MATCH("描述",BUFF表[#Headers],0))&lt;&gt;"")&lt;&gt;0),ROUNDUP(COLUMNS($G20:K20)/2,0))),3),"")</f>
        <v/>
      </c>
      <c r="M20" s="102" t="str" cm="1">
        <f t="array" ref="M20">IFERROR(INDEX(BUFF表[#Headers],SMALL(_xlfn._xlws.FILTER(COLUMN(_xlfn.DROP(INDEX(BUFF表[],MATCH($E20,BUFF表[名称],0),),,MATCH("描述",BUFF表[#Headers],0)))*(_xlfn.DROP(INDEX(BUFF表[],MATCH($E20,BUFF表[名称],0),),,MATCH("描述",BUFF表[#Headers],0))&lt;&gt;""),COLUMN(_xlfn.DROP(INDEX(BUFF表[],MATCH($E20,BUFF表[名称],0),),,MATCH("描述",BUFF表[#Headers],0)))*(_xlfn.DROP(INDEX(BUFF表[],MATCH($E20,BUFF表[名称],0),),,MATCH("描述",BUFF表[#Headers],0))&lt;&gt;"")&lt;&gt;0),ROUNDUP(COLUMNS($G20:M20)/2,0))),"")</f>
        <v/>
      </c>
      <c r="N20" s="103" t="str" cm="1">
        <f t="array" ref="N20">IFERROR(ROUND(IFERROR(1/VLOOKUP($E20,BUFF表[],MATCH("a",BUFF表[#Headers],0),0)*(1+1/VLOOKUP($E20,BUFF表[],MATCH("b",BUFF表[#Headers],0),0)*(IF($F20="",VLOOKUP($E20,BUFF表[],MATCH("dx",BUFF表[#Headers],0),0),$F20)-VLOOKUP($E20,BUFF表[],MATCH("lx",BUFF表[#Headers],0),0))),1)*INDEX(INDEX(BUFF表[],MATCH($E20,BUFF表[名称],0),),SMALL(_xlfn._xlws.FILTER(COLUMN(_xlfn.DROP(INDEX(BUFF表[],MATCH($E20,BUFF表[名称],0),),,MATCH("描述",BUFF表[#Headers],0)))*(_xlfn.DROP(INDEX(BUFF表[],MATCH($E20,BUFF表[名称],0),),,MATCH("描述",BUFF表[#Headers],0))&lt;&gt;""),COLUMN(_xlfn.DROP(INDEX(BUFF表[],MATCH($E20,BUFF表[名称],0),),,MATCH("描述",BUFF表[#Headers],0)))*(_xlfn.DROP(INDEX(BUFF表[],MATCH($E20,BUFF表[名称],0),),,MATCH("描述",BUFF表[#Headers],0))&lt;&gt;"")&lt;&gt;0),ROUNDUP(COLUMNS($G20:M20)/2,0))),3),"")</f>
        <v/>
      </c>
      <c r="O20" s="100" t="str">
        <f>IFERROR(VLOOKUP(E20,BUFF表[],MATCH("描述",BUFF表[#Headers],0),0),"")</f>
        <v/>
      </c>
      <c r="P20" s="111"/>
      <c r="Q20" s="111"/>
      <c r="R20" s="111"/>
      <c r="S20" s="101"/>
      <c r="T20" s="20" cm="1">
        <f t="array" ref="T20">X20*SUM(B$24*U20,B$26*V20,B$25*W20,B$27)*昂扬背水乘区(AB20,AC20)*SUM(1,AD20,AE20)*(1-敌方抗性+AF20)*(1+AG20)/IF($A$39="DPMP",ROUNDUP($B$30*(2-Z20),0),1)/IF($A$39="DPSMP",ROUNDUP($B$31*MAX(0.25,(2-Z20)/Y20),0),1)*防御乘区(AH20)</f>
        <v>877096.432462792</v>
      </c>
      <c r="U20" s="20" cm="1">
        <f t="array" ref="U20">删BUFF取角色属性(U$18,ROWS($E$19:$E20))*(1+删BUFF取角色属性("属性伤",ROWS($E$19:$E20)))</f>
        <v>6052.12371064748</v>
      </c>
      <c r="V20" s="20" cm="1">
        <f t="array" ref="V20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20)),BUFF表[],MATCH("MOD属性",BUFF表[#Headers],0),0),0)),1)))*VLOOKUP(角色MOD,角色MOD表[],MATCH(V$18,角色MOD表[#Headers],0),0),0),IFERROR(VLOOKUP(_xlfn._xlws.FILTER(BUFF,_xlfn.SEQUENCE(ROWS(BUFF))&lt;&gt;ROWS($E$19:$E20)),BUFF表[],MATCH(V$18,BUFF表[#Headers],0),0),0))</f>
        <v>3388.65048</v>
      </c>
      <c r="W20" s="20" cm="1">
        <f t="array" ref="W20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20)),BUFF表[],MATCH("MOD属性",BUFF表[#Headers],0),0),0)),1)))*VLOOKUP(角色MOD,角色MOD表[],MATCH(W$18,角色MOD表[#Headers],0),0),0),IFERROR(VLOOKUP(_xlfn._xlws.FILTER(BUFF,_xlfn.SEQUENCE(ROWS(BUFF))&lt;&gt;ROWS($E$19:$E20)),BUFF表[],MATCH(W$18,BUFF表[#Headers],0),0),0))</f>
        <v>971.49024</v>
      </c>
      <c r="X20" s="23" cm="1">
        <f t="array" ref="X20">删BUFF取角色属性(X$18,ROWS($E$19:$E20))</f>
        <v>8.01554</v>
      </c>
      <c r="Y20" s="23" cm="1">
        <f t="array" ref="Y20">删BUFF取角色属性(Y$18,ROWS($E$19:$E20))</f>
        <v>1.2</v>
      </c>
      <c r="Z20" s="23" cm="1">
        <f t="array" ref="Z20">删BUFF取角色属性(Z$18,ROWS($E$19:$E20))</f>
        <v>0</v>
      </c>
      <c r="AA20" s="23" cm="1">
        <f t="array" ref="AA20">删BUFF取角色属性(AA$18,ROWS($E$19:$E20))</f>
        <v>1.33594</v>
      </c>
      <c r="AB20" s="23" cm="1">
        <f t="array" ref="AB20">删BUFF取角色属性(AB$18,ROWS($E$19:$E20))</f>
        <v>0</v>
      </c>
      <c r="AC20" s="23" cm="1">
        <f t="array" ref="AC20">删BUFF取角色属性(AC$18,ROWS($E$19:$E20))</f>
        <v>0.83008</v>
      </c>
      <c r="AD20" s="23" cm="1">
        <f t="array" ref="AD20">删BUFF取角色属性(AD$18,ROWS($E$19:$E20))</f>
        <v>2.25</v>
      </c>
      <c r="AE20" s="23" cm="1">
        <f t="array" ref="AE20">删BUFF取角色属性(AE$18,ROWS($E$19:$E20))</f>
        <v>0</v>
      </c>
      <c r="AF20" s="23" cm="1">
        <f t="array" ref="AF20">删BUFF取角色属性(AF$18,ROWS($E$19:$E20))</f>
        <v>0.24</v>
      </c>
      <c r="AG20" s="23" cm="1">
        <f t="array" ref="AG20">删BUFF取角色属性(AG$18,ROWS($E$19:$E20))</f>
        <v>0</v>
      </c>
      <c r="AH20" s="23" cm="1">
        <f t="array" ref="AH20">删BUFF取角色属性(AH$18,ROWS($E$19:$E20))</f>
        <v>0</v>
      </c>
      <c r="AV20" t="str">
        <v>紊乱气旋</v>
      </c>
      <c r="AW20" t="str">
        <v>狂热</v>
      </c>
      <c r="AX20" t="str">
        <v>怒火爆破</v>
      </c>
    </row>
    <row r="21" spans="1:50">
      <c r="A21" s="68" t="s">
        <v>68</v>
      </c>
      <c r="B21" s="78">
        <f>IFERROR(VLOOKUP($B$3,角色表[],MATCH(A21,角色表[#Headers],0),0),0)</f>
        <v>0</v>
      </c>
      <c r="C21" s="78" cm="1">
        <f t="array" ref="C21">取角色总属性(A21)</f>
        <v>0</v>
      </c>
      <c r="D21" s="76">
        <f t="shared" si="1"/>
        <v>0.073419966964632</v>
      </c>
      <c r="E21" s="69" t="s">
        <v>95</v>
      </c>
      <c r="F21" s="69"/>
      <c r="G21" s="102" t="str" cm="1">
        <f t="array" ref="G21">IFERROR(INDEX(BUFF表[#Headers],SMALL(_xlfn._xlws.FILTER(COLUMN(_xlfn.DROP(INDEX(BUFF表[],MATCH($E21,BUFF表[名称],0),),,MATCH("描述",BUFF表[#Headers],0)))*(_xlfn.DROP(INDEX(BUFF表[],MATCH($E21,BUFF表[名称],0),),,MATCH("描述",BUFF表[#Headers],0))&lt;&gt;""),COLUMN(_xlfn.DROP(INDEX(BUFF表[],MATCH($E21,BUFF表[名称],0),),,MATCH("描述",BUFF表[#Headers],0)))*(_xlfn.DROP(INDEX(BUFF表[],MATCH($E21,BUFF表[名称],0),),,MATCH("描述",BUFF表[#Headers],0))&lt;&gt;"")&lt;&gt;0),ROUNDUP(COLUMNS($G21:G21)/2,0))),"")</f>
        <v>增伤</v>
      </c>
      <c r="H21" s="103" cm="1">
        <f t="array" ref="H21">IFERROR(ROUND(IFERROR(1/VLOOKUP($E21,BUFF表[],MATCH("a",BUFF表[#Headers],0),0)*(1+1/VLOOKUP($E21,BUFF表[],MATCH("b",BUFF表[#Headers],0),0)*(IF($F21="",VLOOKUP($E21,BUFF表[],MATCH("dx",BUFF表[#Headers],0),0),$F21)-VLOOKUP($E21,BUFF表[],MATCH("lx",BUFF表[#Headers],0),0))),1)*INDEX(INDEX(BUFF表[],MATCH($E21,BUFF表[名称],0),),SMALL(_xlfn._xlws.FILTER(COLUMN(_xlfn.DROP(INDEX(BUFF表[],MATCH($E21,BUFF表[名称],0),),,MATCH("描述",BUFF表[#Headers],0)))*(_xlfn.DROP(INDEX(BUFF表[],MATCH($E21,BUFF表[名称],0),),,MATCH("描述",BUFF表[#Headers],0))&lt;&gt;""),COLUMN(_xlfn.DROP(INDEX(BUFF表[],MATCH($E21,BUFF表[名称],0),),,MATCH("描述",BUFF表[#Headers],0)))*(_xlfn.DROP(INDEX(BUFF表[],MATCH($E21,BUFF表[名称],0),),,MATCH("描述",BUFF表[#Headers],0))&lt;&gt;"")&lt;&gt;0),ROUNDUP(COLUMNS($G21:G21)/2,0))),3),"")</f>
        <v>0.2</v>
      </c>
      <c r="I21" s="102" t="str" cm="1">
        <f t="array" ref="I21">IFERROR(INDEX(BUFF表[#Headers],SMALL(_xlfn._xlws.FILTER(COLUMN(_xlfn.DROP(INDEX(BUFF表[],MATCH($E21,BUFF表[名称],0),),,MATCH("描述",BUFF表[#Headers],0)))*(_xlfn.DROP(INDEX(BUFF表[],MATCH($E21,BUFF表[名称],0),),,MATCH("描述",BUFF表[#Headers],0))&lt;&gt;""),COLUMN(_xlfn.DROP(INDEX(BUFF表[],MATCH($E21,BUFF表[名称],0),),,MATCH("描述",BUFF表[#Headers],0)))*(_xlfn.DROP(INDEX(BUFF表[],MATCH($E21,BUFF表[名称],0),),,MATCH("描述",BUFF表[#Headers],0))&lt;&gt;"")&lt;&gt;0),ROUNDUP(COLUMNS($G21:I21)/2,0))),"")</f>
        <v/>
      </c>
      <c r="J21" s="103" t="str" cm="1">
        <f t="array" ref="J21">IFERROR(ROUND(IFERROR(1/VLOOKUP($E21,BUFF表[],MATCH("a",BUFF表[#Headers],0),0)*(1+1/VLOOKUP($E21,BUFF表[],MATCH("b",BUFF表[#Headers],0),0)*(IF($F21="",VLOOKUP($E21,BUFF表[],MATCH("dx",BUFF表[#Headers],0),0),$F21)-VLOOKUP($E21,BUFF表[],MATCH("lx",BUFF表[#Headers],0),0))),1)*INDEX(INDEX(BUFF表[],MATCH($E21,BUFF表[名称],0),),SMALL(_xlfn._xlws.FILTER(COLUMN(_xlfn.DROP(INDEX(BUFF表[],MATCH($E21,BUFF表[名称],0),),,MATCH("描述",BUFF表[#Headers],0)))*(_xlfn.DROP(INDEX(BUFF表[],MATCH($E21,BUFF表[名称],0),),,MATCH("描述",BUFF表[#Headers],0))&lt;&gt;""),COLUMN(_xlfn.DROP(INDEX(BUFF表[],MATCH($E21,BUFF表[名称],0),),,MATCH("描述",BUFF表[#Headers],0)))*(_xlfn.DROP(INDEX(BUFF表[],MATCH($E21,BUFF表[名称],0),),,MATCH("描述",BUFF表[#Headers],0))&lt;&gt;"")&lt;&gt;0),ROUNDUP(COLUMNS($G21:I21)/2,0))),3),"")</f>
        <v/>
      </c>
      <c r="K21" s="102" t="str" cm="1">
        <f t="array" ref="K21">IFERROR(INDEX(BUFF表[#Headers],SMALL(_xlfn._xlws.FILTER(COLUMN(_xlfn.DROP(INDEX(BUFF表[],MATCH($E21,BUFF表[名称],0),),,MATCH("描述",BUFF表[#Headers],0)))*(_xlfn.DROP(INDEX(BUFF表[],MATCH($E21,BUFF表[名称],0),),,MATCH("描述",BUFF表[#Headers],0))&lt;&gt;""),COLUMN(_xlfn.DROP(INDEX(BUFF表[],MATCH($E21,BUFF表[名称],0),),,MATCH("描述",BUFF表[#Headers],0)))*(_xlfn.DROP(INDEX(BUFF表[],MATCH($E21,BUFF表[名称],0),),,MATCH("描述",BUFF表[#Headers],0))&lt;&gt;"")&lt;&gt;0),ROUNDUP(COLUMNS($G21:K21)/2,0))),"")</f>
        <v/>
      </c>
      <c r="L21" s="103" t="str" cm="1">
        <f t="array" ref="L21">IFERROR(ROUND(IFERROR(1/VLOOKUP($E21,BUFF表[],MATCH("a",BUFF表[#Headers],0),0)*(1+1/VLOOKUP($E21,BUFF表[],MATCH("b",BUFF表[#Headers],0),0)*(IF($F21="",VLOOKUP($E21,BUFF表[],MATCH("dx",BUFF表[#Headers],0),0),$F21)-VLOOKUP($E21,BUFF表[],MATCH("lx",BUFF表[#Headers],0),0))),1)*INDEX(INDEX(BUFF表[],MATCH($E21,BUFF表[名称],0),),SMALL(_xlfn._xlws.FILTER(COLUMN(_xlfn.DROP(INDEX(BUFF表[],MATCH($E21,BUFF表[名称],0),),,MATCH("描述",BUFF表[#Headers],0)))*(_xlfn.DROP(INDEX(BUFF表[],MATCH($E21,BUFF表[名称],0),),,MATCH("描述",BUFF表[#Headers],0))&lt;&gt;""),COLUMN(_xlfn.DROP(INDEX(BUFF表[],MATCH($E21,BUFF表[名称],0),),,MATCH("描述",BUFF表[#Headers],0)))*(_xlfn.DROP(INDEX(BUFF表[],MATCH($E21,BUFF表[名称],0),),,MATCH("描述",BUFF表[#Headers],0))&lt;&gt;"")&lt;&gt;0),ROUNDUP(COLUMNS($G21:K21)/2,0))),3),"")</f>
        <v/>
      </c>
      <c r="M21" s="102" t="str" cm="1">
        <f t="array" ref="M21">IFERROR(INDEX(BUFF表[#Headers],SMALL(_xlfn._xlws.FILTER(COLUMN(_xlfn.DROP(INDEX(BUFF表[],MATCH($E21,BUFF表[名称],0),),,MATCH("描述",BUFF表[#Headers],0)))*(_xlfn.DROP(INDEX(BUFF表[],MATCH($E21,BUFF表[名称],0),),,MATCH("描述",BUFF表[#Headers],0))&lt;&gt;""),COLUMN(_xlfn.DROP(INDEX(BUFF表[],MATCH($E21,BUFF表[名称],0),),,MATCH("描述",BUFF表[#Headers],0)))*(_xlfn.DROP(INDEX(BUFF表[],MATCH($E21,BUFF表[名称],0),),,MATCH("描述",BUFF表[#Headers],0))&lt;&gt;"")&lt;&gt;0),ROUNDUP(COLUMNS($G21:M21)/2,0))),"")</f>
        <v/>
      </c>
      <c r="N21" s="103" t="str" cm="1">
        <f t="array" ref="N21">IFERROR(ROUND(IFERROR(1/VLOOKUP($E21,BUFF表[],MATCH("a",BUFF表[#Headers],0),0)*(1+1/VLOOKUP($E21,BUFF表[],MATCH("b",BUFF表[#Headers],0),0)*(IF($F21="",VLOOKUP($E21,BUFF表[],MATCH("dx",BUFF表[#Headers],0),0),$F21)-VLOOKUP($E21,BUFF表[],MATCH("lx",BUFF表[#Headers],0),0))),1)*INDEX(INDEX(BUFF表[],MATCH($E21,BUFF表[名称],0),),SMALL(_xlfn._xlws.FILTER(COLUMN(_xlfn.DROP(INDEX(BUFF表[],MATCH($E21,BUFF表[名称],0),),,MATCH("描述",BUFF表[#Headers],0)))*(_xlfn.DROP(INDEX(BUFF表[],MATCH($E21,BUFF表[名称],0),),,MATCH("描述",BUFF表[#Headers],0))&lt;&gt;""),COLUMN(_xlfn.DROP(INDEX(BUFF表[],MATCH($E21,BUFF表[名称],0),),,MATCH("描述",BUFF表[#Headers],0)))*(_xlfn.DROP(INDEX(BUFF表[],MATCH($E21,BUFF表[名称],0),),,MATCH("描述",BUFF表[#Headers],0))&lt;&gt;"")&lt;&gt;0),ROUNDUP(COLUMNS($G21:M21)/2,0))),3),"")</f>
        <v/>
      </c>
      <c r="O21" s="100" t="str">
        <f>IFERROR(VLOOKUP(E21,BUFF表[],MATCH("描述",BUFF表[#Headers],0),0),"")</f>
        <v>自身及队友造成的伤害提高20.0%</v>
      </c>
      <c r="P21" s="111"/>
      <c r="Q21" s="111"/>
      <c r="R21" s="111"/>
      <c r="S21" s="101"/>
      <c r="T21" s="20" cm="1">
        <f t="array" ref="T21">X21*SUM(B$24*U21,B$26*V21,B$25*W21,B$27)*昂扬背水乘区(AB21,AC21)*SUM(1,AD21,AE21)*(1-敌方抗性+AF21)*(1+AG21)/IF($A$39="DPMP",ROUNDUP($B$30*(2-Z21),0),1)/IF($A$39="DPSMP",ROUNDUP($B$31*MAX(0.25,(2-Z21)/Y21),0),1)*防御乘区(AH21)</f>
        <v>823121.267388158</v>
      </c>
      <c r="U21" s="20" cm="1">
        <f t="array" ref="U21">删BUFF取角色属性(U$18,ROWS($E$19:$E21))*(1+删BUFF取角色属性("属性伤",ROWS($E$19:$E21)))</f>
        <v>6052.12371064748</v>
      </c>
      <c r="V21" s="20" cm="1">
        <f t="array" ref="V21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21)),BUFF表[],MATCH("MOD属性",BUFF表[#Headers],0),0),0)),1)))*VLOOKUP(角色MOD,角色MOD表[],MATCH(V$18,角色MOD表[#Headers],0),0),0),IFERROR(VLOOKUP(_xlfn._xlws.FILTER(BUFF,_xlfn.SEQUENCE(ROWS(BUFF))&lt;&gt;ROWS($E$19:$E21)),BUFF表[],MATCH(V$18,BUFF表[#Headers],0),0),0))</f>
        <v>3388.65048</v>
      </c>
      <c r="W21" s="20" cm="1">
        <f t="array" ref="W21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21)),BUFF表[],MATCH("MOD属性",BUFF表[#Headers],0),0),0)),1)))*VLOOKUP(角色MOD,角色MOD表[],MATCH(W$18,角色MOD表[#Headers],0),0),0),IFERROR(VLOOKUP(_xlfn._xlws.FILTER(BUFF,_xlfn.SEQUENCE(ROWS(BUFF))&lt;&gt;ROWS($E$19:$E21)),BUFF表[],MATCH(W$18,BUFF表[#Headers],0),0),0))</f>
        <v>971.49024</v>
      </c>
      <c r="X21" s="23" cm="1">
        <f t="array" ref="X21">删BUFF取角色属性(X$18,ROWS($E$19:$E21))</f>
        <v>8.01554</v>
      </c>
      <c r="Y21" s="23" cm="1">
        <f t="array" ref="Y21">删BUFF取角色属性(Y$18,ROWS($E$19:$E21))</f>
        <v>1.2</v>
      </c>
      <c r="Z21" s="23" cm="1">
        <f t="array" ref="Z21">删BUFF取角色属性(Z$18,ROWS($E$19:$E21))</f>
        <v>0</v>
      </c>
      <c r="AA21" s="23" cm="1">
        <f t="array" ref="AA21">删BUFF取角色属性(AA$18,ROWS($E$19:$E21))</f>
        <v>1.33594</v>
      </c>
      <c r="AB21" s="23" cm="1">
        <f t="array" ref="AB21">删BUFF取角色属性(AB$18,ROWS($E$19:$E21))</f>
        <v>0</v>
      </c>
      <c r="AC21" s="23" cm="1">
        <f t="array" ref="AC21">删BUFF取角色属性(AC$18,ROWS($E$19:$E21))</f>
        <v>0.83008</v>
      </c>
      <c r="AD21" s="23" cm="1">
        <f t="array" ref="AD21">删BUFF取角色属性(AD$18,ROWS($E$19:$E21))</f>
        <v>2.05</v>
      </c>
      <c r="AE21" s="23" cm="1">
        <f t="array" ref="AE21">删BUFF取角色属性(AE$18,ROWS($E$19:$E21))</f>
        <v>0</v>
      </c>
      <c r="AF21" s="23" cm="1">
        <f t="array" ref="AF21">删BUFF取角色属性(AF$18,ROWS($E$19:$E21))</f>
        <v>0.24</v>
      </c>
      <c r="AG21" s="23" cm="1">
        <f t="array" ref="AG21">删BUFF取角色属性(AG$18,ROWS($E$19:$E21))</f>
        <v>0</v>
      </c>
      <c r="AH21" s="23" cm="1">
        <f t="array" ref="AH21">删BUFF取角色属性(AH$18,ROWS($E$19:$E21))</f>
        <v>0</v>
      </c>
      <c r="AV21" t="str">
        <v>涅槃</v>
      </c>
      <c r="AW21" t="str">
        <v>连环·缠缚</v>
      </c>
      <c r="AX21" t="str">
        <v>怒火射线</v>
      </c>
    </row>
    <row r="22" spans="1:50">
      <c r="A22" s="68" t="s">
        <v>69</v>
      </c>
      <c r="B22" s="84">
        <v>0</v>
      </c>
      <c r="C22" s="78" cm="1">
        <f t="array" ref="C22">取角色总属性(A22)</f>
        <v>0.24</v>
      </c>
      <c r="D22" s="76">
        <f t="shared" si="1"/>
        <v>1.21544456887862</v>
      </c>
      <c r="E22" s="69" t="s">
        <v>96</v>
      </c>
      <c r="F22" s="69">
        <v>10</v>
      </c>
      <c r="G22" s="102" t="str" cm="1">
        <f t="array" ref="G22">IFERROR(INDEX(BUFF表[#Headers],SMALL(_xlfn._xlws.FILTER(COLUMN(_xlfn.DROP(INDEX(BUFF表[],MATCH($E22,BUFF表[名称],0),),,MATCH("描述",BUFF表[#Headers],0)))*(_xlfn.DROP(INDEX(BUFF表[],MATCH($E22,BUFF表[名称],0),),,MATCH("描述",BUFF表[#Headers],0))&lt;&gt;""),COLUMN(_xlfn.DROP(INDEX(BUFF表[],MATCH($E22,BUFF表[名称],0),),,MATCH("描述",BUFF表[#Headers],0)))*(_xlfn.DROP(INDEX(BUFF表[],MATCH($E22,BUFF表[名称],0),),,MATCH("描述",BUFF表[#Headers],0))&lt;&gt;"")&lt;&gt;0),ROUNDUP(COLUMNS($G22:G22)/2,0))),"")</f>
        <v>攻击</v>
      </c>
      <c r="H22" s="103" cm="1">
        <f t="array" ref="H22">IFERROR(ROUND(IFERROR(1/VLOOKUP($E22,BUFF表[],MATCH("a",BUFF表[#Headers],0),0)*(1+1/VLOOKUP($E22,BUFF表[],MATCH("b",BUFF表[#Headers],0),0)*(IF($F22="",VLOOKUP($E22,BUFF表[],MATCH("dx",BUFF表[#Headers],0),0),$F22)-VLOOKUP($E22,BUFF表[],MATCH("lx",BUFF表[#Headers],0),0))),1)*INDEX(INDEX(BUFF表[],MATCH($E22,BUFF表[名称],0),),SMALL(_xlfn._xlws.FILTER(COLUMN(_xlfn.DROP(INDEX(BUFF表[],MATCH($E22,BUFF表[名称],0),),,MATCH("描述",BUFF表[#Headers],0)))*(_xlfn.DROP(INDEX(BUFF表[],MATCH($E22,BUFF表[名称],0),),,MATCH("描述",BUFF表[#Headers],0))&lt;&gt;""),COLUMN(_xlfn.DROP(INDEX(BUFF表[],MATCH($E22,BUFF表[名称],0),),,MATCH("描述",BUFF表[#Headers],0)))*(_xlfn.DROP(INDEX(BUFF表[],MATCH($E22,BUFF表[名称],0),),,MATCH("描述",BUFF表[#Headers],0))&lt;&gt;"")&lt;&gt;0),ROUNDUP(COLUMNS($G22:G22)/2,0))),3),"")</f>
        <v>1</v>
      </c>
      <c r="I22" s="102" t="str" cm="1">
        <f t="array" ref="I22">IFERROR(INDEX(BUFF表[#Headers],SMALL(_xlfn._xlws.FILTER(COLUMN(_xlfn.DROP(INDEX(BUFF表[],MATCH($E22,BUFF表[名称],0),),,MATCH("描述",BUFF表[#Headers],0)))*(_xlfn.DROP(INDEX(BUFF表[],MATCH($E22,BUFF表[名称],0),),,MATCH("描述",BUFF表[#Headers],0))&lt;&gt;""),COLUMN(_xlfn.DROP(INDEX(BUFF表[],MATCH($E22,BUFF表[名称],0),),,MATCH("描述",BUFF表[#Headers],0)))*(_xlfn.DROP(INDEX(BUFF表[],MATCH($E22,BUFF表[名称],0),),,MATCH("描述",BUFF表[#Headers],0))&lt;&gt;"")&lt;&gt;0),ROUNDUP(COLUMNS($G22:I22)/2,0))),"")</f>
        <v>威力</v>
      </c>
      <c r="J22" s="103" cm="1">
        <f t="array" ref="J22">IFERROR(ROUND(IFERROR(1/VLOOKUP($E22,BUFF表[],MATCH("a",BUFF表[#Headers],0),0)*(1+1/VLOOKUP($E22,BUFF表[],MATCH("b",BUFF表[#Headers],0),0)*(IF($F22="",VLOOKUP($E22,BUFF表[],MATCH("dx",BUFF表[#Headers],0),0),$F22)-VLOOKUP($E22,BUFF表[],MATCH("lx",BUFF表[#Headers],0),0))),1)*INDEX(INDEX(BUFF表[],MATCH($E22,BUFF表[名称],0),),SMALL(_xlfn._xlws.FILTER(COLUMN(_xlfn.DROP(INDEX(BUFF表[],MATCH($E22,BUFF表[名称],0),),,MATCH("描述",BUFF表[#Headers],0)))*(_xlfn.DROP(INDEX(BUFF表[],MATCH($E22,BUFF表[名称],0),),,MATCH("描述",BUFF表[#Headers],0))&lt;&gt;""),COLUMN(_xlfn.DROP(INDEX(BUFF表[],MATCH($E22,BUFF表[名称],0),),,MATCH("描述",BUFF表[#Headers],0)))*(_xlfn.DROP(INDEX(BUFF表[],MATCH($E22,BUFF表[名称],0),),,MATCH("描述",BUFF表[#Headers],0))&lt;&gt;"")&lt;&gt;0),ROUNDUP(COLUMNS($G22:I22)/2,0))),3),"")</f>
        <v>1</v>
      </c>
      <c r="K22" s="102" t="str" cm="1">
        <f t="array" ref="K22">IFERROR(INDEX(BUFF表[#Headers],SMALL(_xlfn._xlws.FILTER(COLUMN(_xlfn.DROP(INDEX(BUFF表[],MATCH($E22,BUFF表[名称],0),),,MATCH("描述",BUFF表[#Headers],0)))*(_xlfn.DROP(INDEX(BUFF表[],MATCH($E22,BUFF表[名称],0),),,MATCH("描述",BUFF表[#Headers],0))&lt;&gt;""),COLUMN(_xlfn.DROP(INDEX(BUFF表[],MATCH($E22,BUFF表[名称],0),),,MATCH("描述",BUFF表[#Headers],0)))*(_xlfn.DROP(INDEX(BUFF表[],MATCH($E22,BUFF表[名称],0),),,MATCH("描述",BUFF表[#Headers],0))&lt;&gt;"")&lt;&gt;0),ROUNDUP(COLUMNS($G22:K22)/2,0))),"")</f>
        <v>背水</v>
      </c>
      <c r="L22" s="103" cm="1">
        <f t="array" ref="L22">IFERROR(ROUND(IFERROR(1/VLOOKUP($E22,BUFF表[],MATCH("a",BUFF表[#Headers],0),0)*(1+1/VLOOKUP($E22,BUFF表[],MATCH("b",BUFF表[#Headers],0),0)*(IF($F22="",VLOOKUP($E22,BUFF表[],MATCH("dx",BUFF表[#Headers],0),0),$F22)-VLOOKUP($E22,BUFF表[],MATCH("lx",BUFF表[#Headers],0),0))),1)*INDEX(INDEX(BUFF表[],MATCH($E22,BUFF表[名称],0),),SMALL(_xlfn._xlws.FILTER(COLUMN(_xlfn.DROP(INDEX(BUFF表[],MATCH($E22,BUFF表[名称],0),),,MATCH("描述",BUFF表[#Headers],0)))*(_xlfn.DROP(INDEX(BUFF表[],MATCH($E22,BUFF表[名称],0),),,MATCH("描述",BUFF表[#Headers],0))&lt;&gt;""),COLUMN(_xlfn.DROP(INDEX(BUFF表[],MATCH($E22,BUFF表[名称],0),),,MATCH("描述",BUFF表[#Headers],0)))*(_xlfn.DROP(INDEX(BUFF表[],MATCH($E22,BUFF表[名称],0),),,MATCH("描述",BUFF表[#Headers],0))&lt;&gt;"")&lt;&gt;0),ROUNDUP(COLUMNS($G22:K22)/2,0))),3),"")</f>
        <v>0.4</v>
      </c>
      <c r="M22" s="102" t="str" cm="1">
        <f t="array" ref="M22">IFERROR(INDEX(BUFF表[#Headers],SMALL(_xlfn._xlws.FILTER(COLUMN(_xlfn.DROP(INDEX(BUFF表[],MATCH($E22,BUFF表[名称],0),),,MATCH("描述",BUFF表[#Headers],0)))*(_xlfn.DROP(INDEX(BUFF表[],MATCH($E22,BUFF表[名称],0),),,MATCH("描述",BUFF表[#Headers],0))&lt;&gt;""),COLUMN(_xlfn.DROP(INDEX(BUFF表[],MATCH($E22,BUFF表[名称],0),),,MATCH("描述",BUFF表[#Headers],0)))*(_xlfn.DROP(INDEX(BUFF表[],MATCH($E22,BUFF表[名称],0),),,MATCH("描述",BUFF表[#Headers],0))&lt;&gt;"")&lt;&gt;0),ROUNDUP(COLUMNS($G22:M22)/2,0))),"")</f>
        <v>增伤</v>
      </c>
      <c r="N22" s="103" cm="1">
        <f t="array" ref="N22">IFERROR(ROUND(IFERROR(1/VLOOKUP($E22,BUFF表[],MATCH("a",BUFF表[#Headers],0),0)*(1+1/VLOOKUP($E22,BUFF表[],MATCH("b",BUFF表[#Headers],0),0)*(IF($F22="",VLOOKUP($E22,BUFF表[],MATCH("dx",BUFF表[#Headers],0),0),$F22)-VLOOKUP($E22,BUFF表[],MATCH("lx",BUFF表[#Headers],0),0))),1)*INDEX(INDEX(BUFF表[],MATCH($E22,BUFF表[名称],0),),SMALL(_xlfn._xlws.FILTER(COLUMN(_xlfn.DROP(INDEX(BUFF表[],MATCH($E22,BUFF表[名称],0),),,MATCH("描述",BUFF表[#Headers],0)))*(_xlfn.DROP(INDEX(BUFF表[],MATCH($E22,BUFF表[名称],0),),,MATCH("描述",BUFF表[#Headers],0))&lt;&gt;""),COLUMN(_xlfn.DROP(INDEX(BUFF表[],MATCH($E22,BUFF表[名称],0),),,MATCH("描述",BUFF表[#Headers],0)))*(_xlfn.DROP(INDEX(BUFF表[],MATCH($E22,BUFF表[名称],0),),,MATCH("描述",BUFF表[#Headers],0))&lt;&gt;"")&lt;&gt;0),ROUNDUP(COLUMNS($G22:M22)/2,0))),3),"")</f>
        <v>0.36</v>
      </c>
      <c r="O22" s="100" t="str">
        <f>IFERROR(VLOOKUP(E22,BUFF表[],MATCH("描述",BUFF表[#Headers],0),0),"")</f>
        <v>造成的伤害暴击时，随机获得攻击提高、技能威力提高、背水提高效果中1个。基于自身的增益效果的数量，提高造成的伤害，最多计算12个增益效果。</v>
      </c>
      <c r="P22" s="111"/>
      <c r="Q22" s="111"/>
      <c r="R22" s="111"/>
      <c r="S22" s="101"/>
      <c r="T22" s="20" cm="1">
        <f t="array" ref="T22">X22*SUM(B$24*U22,B$26*V22,B$25*W22,B$27)*昂扬背水乘区(AB22,AC22)*SUM(1,AD22,AE22)*(1-敌方抗性+AF22)*(1+AG22)/IF($A$39="DPMP",ROUNDUP($B$30*(2-Z22),0),1)/IF($A$39="DPSMP",ROUNDUP($B$31*MAX(0.25,(2-Z22)/Y22),0),1)*防御乘区(AH22)</f>
        <v>398816.028195599</v>
      </c>
      <c r="U22" s="20" cm="1">
        <f t="array" ref="U22">删BUFF取角色属性(U$18,ROWS($E$19:$E22))*(1+删BUFF取角色属性("属性伤",ROWS($E$19:$E22)))</f>
        <v>5565.72415824748</v>
      </c>
      <c r="V22" s="20" cm="1">
        <f t="array" ref="V22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22)),BUFF表[],MATCH("MOD属性",BUFF表[#Headers],0),0),0)),1)))*VLOOKUP(角色MOD,角色MOD表[],MATCH(V$18,角色MOD表[#Headers],0),0),0),IFERROR(VLOOKUP(_xlfn._xlws.FILTER(BUFF,_xlfn.SEQUENCE(ROWS(BUFF))&lt;&gt;ROWS($E$19:$E22)),BUFF表[],MATCH(V$18,BUFF表[#Headers],0),0),0))</f>
        <v>3388.65048</v>
      </c>
      <c r="W22" s="20" cm="1">
        <f t="array" ref="W22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22)),BUFF表[],MATCH("MOD属性",BUFF表[#Headers],0),0),0)),1)))*VLOOKUP(角色MOD,角色MOD表[],MATCH(W$18,角色MOD表[#Headers],0),0),0),IFERROR(VLOOKUP(_xlfn._xlws.FILTER(BUFF,_xlfn.SEQUENCE(ROWS(BUFF))&lt;&gt;ROWS($E$19:$E22)),BUFF表[],MATCH(W$18,BUFF表[#Headers],0),0),0))</f>
        <v>971.49024</v>
      </c>
      <c r="X22" s="23" cm="1">
        <f t="array" ref="X22">删BUFF取角色属性(X$18,ROWS($E$19:$E22))</f>
        <v>7.01554</v>
      </c>
      <c r="Y22" s="23" cm="1">
        <f t="array" ref="Y22">删BUFF取角色属性(Y$18,ROWS($E$19:$E22))</f>
        <v>1.2</v>
      </c>
      <c r="Z22" s="23" cm="1">
        <f t="array" ref="Z22">删BUFF取角色属性(Z$18,ROWS($E$19:$E22))</f>
        <v>0</v>
      </c>
      <c r="AA22" s="23" cm="1">
        <f t="array" ref="AA22">删BUFF取角色属性(AA$18,ROWS($E$19:$E22))</f>
        <v>1.33594</v>
      </c>
      <c r="AB22" s="23" cm="1">
        <f t="array" ref="AB22">删BUFF取角色属性(AB$18,ROWS($E$19:$E22))</f>
        <v>0</v>
      </c>
      <c r="AC22" s="23" cm="1">
        <f t="array" ref="AC22">删BUFF取角色属性(AC$18,ROWS($E$19:$E22))</f>
        <v>0.43008</v>
      </c>
      <c r="AD22" s="23" cm="1">
        <f t="array" ref="AD22">删BUFF取角色属性(AD$18,ROWS($E$19:$E22))</f>
        <v>1.89</v>
      </c>
      <c r="AE22" s="23" cm="1">
        <f t="array" ref="AE22">删BUFF取角色属性(AE$18,ROWS($E$19:$E22))</f>
        <v>0</v>
      </c>
      <c r="AF22" s="23" cm="1">
        <f t="array" ref="AF22">删BUFF取角色属性(AF$18,ROWS($E$19:$E22))</f>
        <v>0.24</v>
      </c>
      <c r="AG22" s="23" cm="1">
        <f t="array" ref="AG22">删BUFF取角色属性(AG$18,ROWS($E$19:$E22))</f>
        <v>0</v>
      </c>
      <c r="AH22" s="23" cm="1">
        <f t="array" ref="AH22">删BUFF取角色属性(AH$18,ROWS($E$19:$E22))</f>
        <v>0</v>
      </c>
      <c r="AV22" t="str">
        <v>庇佑</v>
      </c>
      <c r="AW22" t="str">
        <v>狩猎秽兽</v>
      </c>
      <c r="AX22" t="str">
        <v>聚焦</v>
      </c>
    </row>
    <row r="23" spans="1:50">
      <c r="A23" s="68" t="s">
        <v>97</v>
      </c>
      <c r="B23" s="85" t="s">
        <v>98</v>
      </c>
      <c r="C23" s="86">
        <v>10</v>
      </c>
      <c r="D23" s="76">
        <f t="shared" si="1"/>
        <v>0.15095363370729</v>
      </c>
      <c r="E23" s="69" t="s">
        <v>99</v>
      </c>
      <c r="F23" s="69"/>
      <c r="G23" s="102" t="str" cm="1">
        <f t="array" ref="G23">IFERROR(INDEX(BUFF表[#Headers],SMALL(_xlfn._xlws.FILTER(COLUMN(_xlfn.DROP(INDEX(BUFF表[],MATCH($E23,BUFF表[名称],0),),,MATCH("描述",BUFF表[#Headers],0)))*(_xlfn.DROP(INDEX(BUFF表[],MATCH($E23,BUFF表[名称],0),),,MATCH("描述",BUFF表[#Headers],0))&lt;&gt;""),COLUMN(_xlfn.DROP(INDEX(BUFF表[],MATCH($E23,BUFF表[名称],0),),,MATCH("描述",BUFF表[#Headers],0)))*(_xlfn.DROP(INDEX(BUFF表[],MATCH($E23,BUFF表[名称],0),),,MATCH("描述",BUFF表[#Headers],0))&lt;&gt;"")&lt;&gt;0),ROUNDUP(COLUMNS($G23:G23)/2,0))),"")</f>
        <v>威力</v>
      </c>
      <c r="H23" s="103" cm="1">
        <f t="array" ref="H23">IFERROR(ROUND(IFERROR(1/VLOOKUP($E23,BUFF表[],MATCH("a",BUFF表[#Headers],0),0)*(1+1/VLOOKUP($E23,BUFF表[],MATCH("b",BUFF表[#Headers],0),0)*(IF($F23="",VLOOKUP($E23,BUFF表[],MATCH("dx",BUFF表[#Headers],0),0),$F23)-VLOOKUP($E23,BUFF表[],MATCH("lx",BUFF表[#Headers],0),0))),1)*INDEX(INDEX(BUFF表[],MATCH($E23,BUFF表[名称],0),),SMALL(_xlfn._xlws.FILTER(COLUMN(_xlfn.DROP(INDEX(BUFF表[],MATCH($E23,BUFF表[名称],0),),,MATCH("描述",BUFF表[#Headers],0)))*(_xlfn.DROP(INDEX(BUFF表[],MATCH($E23,BUFF表[名称],0),),,MATCH("描述",BUFF表[#Headers],0))&lt;&gt;""),COLUMN(_xlfn.DROP(INDEX(BUFF表[],MATCH($E23,BUFF表[名称],0),),,MATCH("描述",BUFF表[#Headers],0)))*(_xlfn.DROP(INDEX(BUFF表[],MATCH($E23,BUFF表[名称],0),),,MATCH("描述",BUFF表[#Headers],0))&lt;&gt;"")&lt;&gt;0),ROUNDUP(COLUMNS($G23:G23)/2,0))),3),"")</f>
        <v>1</v>
      </c>
      <c r="I23" s="102" t="str" cm="1">
        <f t="array" ref="I23">IFERROR(INDEX(BUFF表[#Headers],SMALL(_xlfn._xlws.FILTER(COLUMN(_xlfn.DROP(INDEX(BUFF表[],MATCH($E23,BUFF表[名称],0),),,MATCH("描述",BUFF表[#Headers],0)))*(_xlfn.DROP(INDEX(BUFF表[],MATCH($E23,BUFF表[名称],0),),,MATCH("描述",BUFF表[#Headers],0))&lt;&gt;""),COLUMN(_xlfn.DROP(INDEX(BUFF表[],MATCH($E23,BUFF表[名称],0),),,MATCH("描述",BUFF表[#Headers],0)))*(_xlfn.DROP(INDEX(BUFF表[],MATCH($E23,BUFF表[名称],0),),,MATCH("描述",BUFF表[#Headers],0))&lt;&gt;"")&lt;&gt;0),ROUNDUP(COLUMNS($G23:I23)/2,0))),"")</f>
        <v>武器伤害</v>
      </c>
      <c r="J23" s="103" cm="1">
        <f t="array" ref="J23">IFERROR(ROUND(IFERROR(1/VLOOKUP($E23,BUFF表[],MATCH("a",BUFF表[#Headers],0),0)*(1+1/VLOOKUP($E23,BUFF表[],MATCH("b",BUFF表[#Headers],0),0)*(IF($F23="",VLOOKUP($E23,BUFF表[],MATCH("dx",BUFF表[#Headers],0),0),$F23)-VLOOKUP($E23,BUFF表[],MATCH("lx",BUFF表[#Headers],0),0))),1)*INDEX(INDEX(BUFF表[],MATCH($E23,BUFF表[名称],0),),SMALL(_xlfn._xlws.FILTER(COLUMN(_xlfn.DROP(INDEX(BUFF表[],MATCH($E23,BUFF表[名称],0),),,MATCH("描述",BUFF表[#Headers],0)))*(_xlfn.DROP(INDEX(BUFF表[],MATCH($E23,BUFF表[名称],0),),,MATCH("描述",BUFF表[#Headers],0))&lt;&gt;""),COLUMN(_xlfn.DROP(INDEX(BUFF表[],MATCH($E23,BUFF表[名称],0),),,MATCH("描述",BUFF表[#Headers],0)))*(_xlfn.DROP(INDEX(BUFF表[],MATCH($E23,BUFF表[名称],0),),,MATCH("描述",BUFF表[#Headers],0))&lt;&gt;"")&lt;&gt;0),ROUNDUP(COLUMNS($G23:I23)/2,0))),3),"")</f>
        <v>0.5</v>
      </c>
      <c r="K23" s="102" t="str" cm="1">
        <f t="array" ref="K23">IFERROR(INDEX(BUFF表[#Headers],SMALL(_xlfn._xlws.FILTER(COLUMN(_xlfn.DROP(INDEX(BUFF表[],MATCH($E23,BUFF表[名称],0),),,MATCH("描述",BUFF表[#Headers],0)))*(_xlfn.DROP(INDEX(BUFF表[],MATCH($E23,BUFF表[名称],0),),,MATCH("描述",BUFF表[#Headers],0))&lt;&gt;""),COLUMN(_xlfn.DROP(INDEX(BUFF表[],MATCH($E23,BUFF表[名称],0),),,MATCH("描述",BUFF表[#Headers],0)))*(_xlfn.DROP(INDEX(BUFF表[],MATCH($E23,BUFF表[名称],0),),,MATCH("描述",BUFF表[#Headers],0))&lt;&gt;"")&lt;&gt;0),ROUNDUP(COLUMNS($G23:K23)/2,0))),"")</f>
        <v>暴击</v>
      </c>
      <c r="L23" s="103" cm="1">
        <f t="array" ref="L23">IFERROR(ROUND(IFERROR(1/VLOOKUP($E23,BUFF表[],MATCH("a",BUFF表[#Headers],0),0)*(1+1/VLOOKUP($E23,BUFF表[],MATCH("b",BUFF表[#Headers],0),0)*(IF($F23="",VLOOKUP($E23,BUFF表[],MATCH("dx",BUFF表[#Headers],0),0),$F23)-VLOOKUP($E23,BUFF表[],MATCH("lx",BUFF表[#Headers],0),0))),1)*INDEX(INDEX(BUFF表[],MATCH($E23,BUFF表[名称],0),),SMALL(_xlfn._xlws.FILTER(COLUMN(_xlfn.DROP(INDEX(BUFF表[],MATCH($E23,BUFF表[名称],0),),,MATCH("描述",BUFF表[#Headers],0)))*(_xlfn.DROP(INDEX(BUFF表[],MATCH($E23,BUFF表[名称],0),),,MATCH("描述",BUFF表[#Headers],0))&lt;&gt;""),COLUMN(_xlfn.DROP(INDEX(BUFF表[],MATCH($E23,BUFF表[名称],0),),,MATCH("描述",BUFF表[#Headers],0)))*(_xlfn.DROP(INDEX(BUFF表[],MATCH($E23,BUFF表[名称],0),),,MATCH("描述",BUFF表[#Headers],0))&lt;&gt;"")&lt;&gt;0),ROUNDUP(COLUMNS($G23:K23)/2,0))),3),"")</f>
        <v>0.4</v>
      </c>
      <c r="M23" s="102" t="str" cm="1">
        <f t="array" ref="M23">IFERROR(INDEX(BUFF表[#Headers],SMALL(_xlfn._xlws.FILTER(COLUMN(_xlfn.DROP(INDEX(BUFF表[],MATCH($E23,BUFF表[名称],0),),,MATCH("描述",BUFF表[#Headers],0)))*(_xlfn.DROP(INDEX(BUFF表[],MATCH($E23,BUFF表[名称],0),),,MATCH("描述",BUFF表[#Headers],0))&lt;&gt;""),COLUMN(_xlfn.DROP(INDEX(BUFF表[],MATCH($E23,BUFF表[名称],0),),,MATCH("描述",BUFF表[#Headers],0)))*(_xlfn.DROP(INDEX(BUFF表[],MATCH($E23,BUFF表[名称],0),),,MATCH("描述",BUFF表[#Headers],0))&lt;&gt;"")&lt;&gt;0),ROUNDUP(COLUMNS($G23:M23)/2,0))),"")</f>
        <v>暴伤</v>
      </c>
      <c r="N23" s="103" cm="1">
        <f t="array" ref="N23">IFERROR(ROUND(IFERROR(1/VLOOKUP($E23,BUFF表[],MATCH("a",BUFF表[#Headers],0),0)*(1+1/VLOOKUP($E23,BUFF表[],MATCH("b",BUFF表[#Headers],0),0)*(IF($F23="",VLOOKUP($E23,BUFF表[],MATCH("dx",BUFF表[#Headers],0),0),$F23)-VLOOKUP($E23,BUFF表[],MATCH("lx",BUFF表[#Headers],0),0))),1)*INDEX(INDEX(BUFF表[],MATCH($E23,BUFF表[名称],0),),SMALL(_xlfn._xlws.FILTER(COLUMN(_xlfn.DROP(INDEX(BUFF表[],MATCH($E23,BUFF表[名称],0),),,MATCH("描述",BUFF表[#Headers],0)))*(_xlfn.DROP(INDEX(BUFF表[],MATCH($E23,BUFF表[名称],0),),,MATCH("描述",BUFF表[#Headers],0))&lt;&gt;""),COLUMN(_xlfn.DROP(INDEX(BUFF表[],MATCH($E23,BUFF表[名称],0),),,MATCH("描述",BUFF表[#Headers],0)))*(_xlfn.DROP(INDEX(BUFF表[],MATCH($E23,BUFF表[名称],0),),,MATCH("描述",BUFF表[#Headers],0))&lt;&gt;"")&lt;&gt;0),ROUNDUP(COLUMNS($G23:M23)/2,0))),3),"")</f>
        <v>-0.5</v>
      </c>
      <c r="O23" s="100" t="str">
        <f>IFERROR(VLOOKUP(E23,BUFF表[],MATCH("描述",BUFF表[#Headers],0),0),"")</f>
        <v>深渊BUFF(11/25-12-23)</v>
      </c>
      <c r="P23" s="111"/>
      <c r="Q23" s="111"/>
      <c r="R23" s="111"/>
      <c r="S23" s="101"/>
      <c r="T23" s="20" cm="1">
        <f t="array" ref="T23">X23*SUM(B$24*U23,B$26*V23,B$25*W23,B$27)*昂扬背水乘区(AB23,AC23)*SUM(1,AD23,AE23)*(1-敌方抗性+AF23)*(1+AG23)/IF($A$39="DPMP",ROUNDUP($B$30*(2-Z23),0),1)/IF($A$39="DPSMP",ROUNDUP($B$31*MAX(0.25,(2-Z23)/Y23),0),1)*防御乘区(AH23)</f>
        <v>767671.935490312</v>
      </c>
      <c r="U23" s="20" cm="1">
        <f t="array" ref="U23">删BUFF取角色属性(U$18,ROWS($E$19:$E23))*(1+删BUFF取角色属性("属性伤",ROWS($E$19:$E23)))</f>
        <v>6052.12371064748</v>
      </c>
      <c r="V23" s="20" cm="1">
        <f t="array" ref="V23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23)),BUFF表[],MATCH("MOD属性",BUFF表[#Headers],0),0),0)),1)))*VLOOKUP(角色MOD,角色MOD表[],MATCH(V$18,角色MOD表[#Headers],0),0),0),IFERROR(VLOOKUP(_xlfn._xlws.FILTER(BUFF,_xlfn.SEQUENCE(ROWS(BUFF))&lt;&gt;ROWS($E$19:$E23)),BUFF表[],MATCH(V$18,BUFF表[#Headers],0),0),0))</f>
        <v>3388.65048</v>
      </c>
      <c r="W23" s="20" cm="1">
        <f t="array" ref="W23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23)),BUFF表[],MATCH("MOD属性",BUFF表[#Headers],0),0),0)),1)))*VLOOKUP(角色MOD,角色MOD表[],MATCH(W$18,角色MOD表[#Headers],0),0),0),IFERROR(VLOOKUP(_xlfn._xlws.FILTER(BUFF,_xlfn.SEQUENCE(ROWS(BUFF))&lt;&gt;ROWS($E$19:$E23)),BUFF表[],MATCH(W$18,BUFF表[#Headers],0),0),0))</f>
        <v>971.49024</v>
      </c>
      <c r="X23" s="23" cm="1">
        <f t="array" ref="X23">删BUFF取角色属性(X$18,ROWS($E$19:$E23))</f>
        <v>7.01554</v>
      </c>
      <c r="Y23" s="23" cm="1">
        <f t="array" ref="Y23">删BUFF取角色属性(Y$18,ROWS($E$19:$E23))</f>
        <v>1.2</v>
      </c>
      <c r="Z23" s="23" cm="1">
        <f t="array" ref="Z23">删BUFF取角色属性(Z$18,ROWS($E$19:$E23))</f>
        <v>0</v>
      </c>
      <c r="AA23" s="23" cm="1">
        <f t="array" ref="AA23">删BUFF取角色属性(AA$18,ROWS($E$19:$E23))</f>
        <v>1.33594</v>
      </c>
      <c r="AB23" s="23" cm="1">
        <f t="array" ref="AB23">删BUFF取角色属性(AB$18,ROWS($E$19:$E23))</f>
        <v>0</v>
      </c>
      <c r="AC23" s="23" cm="1">
        <f t="array" ref="AC23">删BUFF取角色属性(AC$18,ROWS($E$19:$E23))</f>
        <v>0.83008</v>
      </c>
      <c r="AD23" s="23" cm="1">
        <f t="array" ref="AD23">删BUFF取角色属性(AD$18,ROWS($E$19:$E23))</f>
        <v>2.25</v>
      </c>
      <c r="AE23" s="23" cm="1">
        <f t="array" ref="AE23">删BUFF取角色属性(AE$18,ROWS($E$19:$E23))</f>
        <v>0</v>
      </c>
      <c r="AF23" s="23" cm="1">
        <f t="array" ref="AF23">删BUFF取角色属性(AF$18,ROWS($E$19:$E23))</f>
        <v>0.24</v>
      </c>
      <c r="AG23" s="23" cm="1">
        <f t="array" ref="AG23">删BUFF取角色属性(AG$18,ROWS($E$19:$E23))</f>
        <v>0</v>
      </c>
      <c r="AH23" s="23" cm="1">
        <f t="array" ref="AH23">删BUFF取角色属性(AH$18,ROWS($E$19:$E23))</f>
        <v>0</v>
      </c>
      <c r="AV23" t="str">
        <v>坚守</v>
      </c>
      <c r="AW23" t="str">
        <v>狩猎军团</v>
      </c>
      <c r="AX23" t="str">
        <v>割裂</v>
      </c>
    </row>
    <row r="24" spans="1:50">
      <c r="A24" s="68" t="s">
        <v>100</v>
      </c>
      <c r="B24" s="78" cm="1">
        <f t="array" ref="B24">IFERROR(_xlfn.MAP(INDEX(技能表[],MATCH(1,(技能表[名称]=B$23)*(技能表[等级]=1),0),MATCH(A24,技能表[#Headers],0)),INDEX(技能表[],MATCH(1,(技能表[名称]=B$23)*(技能表[等级]=10),0),MATCH(A24,技能表[#Headers],0)),_xlfn.LAMBDA(_xlpm.a,_xlpm.b,_xlpm.a*(1+(_xlpm.b/_xlpm.a-1)/9*(C$23-1)))),0)</f>
        <v>0.37</v>
      </c>
      <c r="C24" s="87">
        <f>B24*$C$12</f>
        <v>2.9657498</v>
      </c>
      <c r="D24" s="76">
        <f t="shared" si="1"/>
        <v>0.0355946739859144</v>
      </c>
      <c r="E24" s="69" t="s">
        <v>101</v>
      </c>
      <c r="F24" s="69"/>
      <c r="G24" s="102" t="str" cm="1">
        <f t="array" ref="G24">IFERROR(INDEX(BUFF表[#Headers],SMALL(_xlfn._xlws.FILTER(COLUMN(_xlfn.DROP(INDEX(BUFF表[],MATCH($E24,BUFF表[名称],0),),,MATCH("描述",BUFF表[#Headers],0)))*(_xlfn.DROP(INDEX(BUFF表[],MATCH($E24,BUFF表[名称],0),),,MATCH("描述",BUFF表[#Headers],0))&lt;&gt;""),COLUMN(_xlfn.DROP(INDEX(BUFF表[],MATCH($E24,BUFF表[名称],0),),,MATCH("描述",BUFF表[#Headers],0)))*(_xlfn.DROP(INDEX(BUFF表[],MATCH($E24,BUFF表[名称],0),),,MATCH("描述",BUFF表[#Headers],0))&lt;&gt;"")&lt;&gt;0),ROUNDUP(COLUMNS($G24:G24)/2,0))),"")</f>
        <v>攻击</v>
      </c>
      <c r="H24" s="103" cm="1">
        <f t="array" ref="H24">IFERROR(ROUND(IFERROR(1/VLOOKUP($E24,BUFF表[],MATCH("a",BUFF表[#Headers],0),0)*(1+1/VLOOKUP($E24,BUFF表[],MATCH("b",BUFF表[#Headers],0),0)*(IF($F24="",VLOOKUP($E24,BUFF表[],MATCH("dx",BUFF表[#Headers],0),0),$F24)-VLOOKUP($E24,BUFF表[],MATCH("lx",BUFF表[#Headers],0),0))),1)*INDEX(INDEX(BUFF表[],MATCH($E24,BUFF表[名称],0),),SMALL(_xlfn._xlws.FILTER(COLUMN(_xlfn.DROP(INDEX(BUFF表[],MATCH($E24,BUFF表[名称],0),),,MATCH("描述",BUFF表[#Headers],0)))*(_xlfn.DROP(INDEX(BUFF表[],MATCH($E24,BUFF表[名称],0),),,MATCH("描述",BUFF表[#Headers],0))&lt;&gt;""),COLUMN(_xlfn.DROP(INDEX(BUFF表[],MATCH($E24,BUFF表[名称],0),),,MATCH("描述",BUFF表[#Headers],0)))*(_xlfn.DROP(INDEX(BUFF表[],MATCH($E24,BUFF表[名称],0),),,MATCH("描述",BUFF表[#Headers],0))&lt;&gt;"")&lt;&gt;0),ROUNDUP(COLUMNS($G24:G24)/2,0))),3),"")</f>
        <v>0.2</v>
      </c>
      <c r="I24" s="102" t="str" cm="1">
        <f t="array" ref="I24">IFERROR(INDEX(BUFF表[#Headers],SMALL(_xlfn._xlws.FILTER(COLUMN(_xlfn.DROP(INDEX(BUFF表[],MATCH($E24,BUFF表[名称],0),),,MATCH("描述",BUFF表[#Headers],0)))*(_xlfn.DROP(INDEX(BUFF表[],MATCH($E24,BUFF表[名称],0),),,MATCH("描述",BUFF表[#Headers],0))&lt;&gt;""),COLUMN(_xlfn.DROP(INDEX(BUFF表[],MATCH($E24,BUFF表[名称],0),),,MATCH("描述",BUFF表[#Headers],0)))*(_xlfn.DROP(INDEX(BUFF表[],MATCH($E24,BUFF表[名称],0),),,MATCH("描述",BUFF表[#Headers],0))&lt;&gt;"")&lt;&gt;0),ROUNDUP(COLUMNS($G24:I24)/2,0))),"")</f>
        <v>威力</v>
      </c>
      <c r="J24" s="103" cm="1">
        <f t="array" ref="J24">IFERROR(ROUND(IFERROR(1/VLOOKUP($E24,BUFF表[],MATCH("a",BUFF表[#Headers],0),0)*(1+1/VLOOKUP($E24,BUFF表[],MATCH("b",BUFF表[#Headers],0),0)*(IF($F24="",VLOOKUP($E24,BUFF表[],MATCH("dx",BUFF表[#Headers],0),0),$F24)-VLOOKUP($E24,BUFF表[],MATCH("lx",BUFF表[#Headers],0),0))),1)*INDEX(INDEX(BUFF表[],MATCH($E24,BUFF表[名称],0),),SMALL(_xlfn._xlws.FILTER(COLUMN(_xlfn.DROP(INDEX(BUFF表[],MATCH($E24,BUFF表[名称],0),),,MATCH("描述",BUFF表[#Headers],0)))*(_xlfn.DROP(INDEX(BUFF表[],MATCH($E24,BUFF表[名称],0),),,MATCH("描述",BUFF表[#Headers],0))&lt;&gt;""),COLUMN(_xlfn.DROP(INDEX(BUFF表[],MATCH($E24,BUFF表[名称],0),),,MATCH("描述",BUFF表[#Headers],0)))*(_xlfn.DROP(INDEX(BUFF表[],MATCH($E24,BUFF表[名称],0),),,MATCH("描述",BUFF表[#Headers],0))&lt;&gt;"")&lt;&gt;0),ROUNDUP(COLUMNS($G24:I24)/2,0))),3),"")</f>
        <v>0.15</v>
      </c>
      <c r="K24" s="102" t="str" cm="1">
        <f t="array" ref="K24">IFERROR(INDEX(BUFF表[#Headers],SMALL(_xlfn._xlws.FILTER(COLUMN(_xlfn.DROP(INDEX(BUFF表[],MATCH($E24,BUFF表[名称],0),),,MATCH("描述",BUFF表[#Headers],0)))*(_xlfn.DROP(INDEX(BUFF表[],MATCH($E24,BUFF表[名称],0),),,MATCH("描述",BUFF表[#Headers],0))&lt;&gt;""),COLUMN(_xlfn.DROP(INDEX(BUFF表[],MATCH($E24,BUFF表[名称],0),),,MATCH("描述",BUFF表[#Headers],0)))*(_xlfn.DROP(INDEX(BUFF表[],MATCH($E24,BUFF表[名称],0),),,MATCH("描述",BUFF表[#Headers],0))&lt;&gt;"")&lt;&gt;0),ROUNDUP(COLUMNS($G24:K24)/2,0))),"")</f>
        <v>耐久</v>
      </c>
      <c r="L24" s="103" cm="1">
        <f t="array" ref="L24">IFERROR(ROUND(IFERROR(1/VLOOKUP($E24,BUFF表[],MATCH("a",BUFF表[#Headers],0),0)*(1+1/VLOOKUP($E24,BUFF表[],MATCH("b",BUFF表[#Headers],0),0)*(IF($F24="",VLOOKUP($E24,BUFF表[],MATCH("dx",BUFF表[#Headers],0),0),$F24)-VLOOKUP($E24,BUFF表[],MATCH("lx",BUFF表[#Headers],0),0))),1)*INDEX(INDEX(BUFF表[],MATCH($E24,BUFF表[名称],0),),SMALL(_xlfn._xlws.FILTER(COLUMN(_xlfn.DROP(INDEX(BUFF表[],MATCH($E24,BUFF表[名称],0),),,MATCH("描述",BUFF表[#Headers],0)))*(_xlfn.DROP(INDEX(BUFF表[],MATCH($E24,BUFF表[名称],0),),,MATCH("描述",BUFF表[#Headers],0))&lt;&gt;""),COLUMN(_xlfn.DROP(INDEX(BUFF表[],MATCH($E24,BUFF表[名称],0),),,MATCH("描述",BUFF表[#Headers],0)))*(_xlfn.DROP(INDEX(BUFF表[],MATCH($E24,BUFF表[名称],0),),,MATCH("描述",BUFF表[#Headers],0))&lt;&gt;"")&lt;&gt;0),ROUNDUP(COLUMNS($G24:K24)/2,0))),3),"")</f>
        <v>0.2</v>
      </c>
      <c r="M24" s="102" t="str" cm="1">
        <f t="array" ref="M24">IFERROR(INDEX(BUFF表[#Headers],SMALL(_xlfn._xlws.FILTER(COLUMN(_xlfn.DROP(INDEX(BUFF表[],MATCH($E24,BUFF表[名称],0),),,MATCH("描述",BUFF表[#Headers],0)))*(_xlfn.DROP(INDEX(BUFF表[],MATCH($E24,BUFF表[名称],0),),,MATCH("描述",BUFF表[#Headers],0))&lt;&gt;""),COLUMN(_xlfn.DROP(INDEX(BUFF表[],MATCH($E24,BUFF表[名称],0),),,MATCH("描述",BUFF表[#Headers],0)))*(_xlfn.DROP(INDEX(BUFF表[],MATCH($E24,BUFF表[名称],0),),,MATCH("描述",BUFF表[#Headers],0))&lt;&gt;"")&lt;&gt;0),ROUNDUP(COLUMNS($G24:M24)/2,0))),"")</f>
        <v/>
      </c>
      <c r="N24" s="103" t="str" cm="1">
        <f t="array" ref="N24">IFERROR(ROUND(IFERROR(1/VLOOKUP($E24,BUFF表[],MATCH("a",BUFF表[#Headers],0),0)*(1+1/VLOOKUP($E24,BUFF表[],MATCH("b",BUFF表[#Headers],0),0)*(IF($F24="",VLOOKUP($E24,BUFF表[],MATCH("dx",BUFF表[#Headers],0),0),$F24)-VLOOKUP($E24,BUFF表[],MATCH("lx",BUFF表[#Headers],0),0))),1)*INDEX(INDEX(BUFF表[],MATCH($E24,BUFF表[名称],0),),SMALL(_xlfn._xlws.FILTER(COLUMN(_xlfn.DROP(INDEX(BUFF表[],MATCH($E24,BUFF表[名称],0),),,MATCH("描述",BUFF表[#Headers],0)))*(_xlfn.DROP(INDEX(BUFF表[],MATCH($E24,BUFF表[名称],0),),,MATCH("描述",BUFF表[#Headers],0))&lt;&gt;""),COLUMN(_xlfn.DROP(INDEX(BUFF表[],MATCH($E24,BUFF表[名称],0),),,MATCH("描述",BUFF表[#Headers],0)))*(_xlfn.DROP(INDEX(BUFF表[],MATCH($E24,BUFF表[名称],0),),,MATCH("描述",BUFF表[#Headers],0))&lt;&gt;"")&lt;&gt;0),ROUNDUP(COLUMNS($G24:M24)/2,0))),3),"")</f>
        <v/>
      </c>
      <c r="O24" s="100" t="str">
        <f>IFERROR(VLOOKUP(E24,BUFF表[],MATCH("描述",BUFF表[#Headers],0),0),"")</f>
        <v>使用此武器造成的伤害暴击时，为其他队友附加攻击提高、技能威力提高、技能耐久提高中的1个，持续16.0秒。、</v>
      </c>
      <c r="P24" s="111"/>
      <c r="Q24" s="111"/>
      <c r="R24" s="111"/>
      <c r="S24" s="101"/>
      <c r="T24" s="20" cm="1">
        <f t="array" ref="T24">X24*SUM(B$24*U24,B$26*V24,B$25*W24,B$27)*昂扬背水乘区(AB24,AC24)*SUM(1,AD24,AE24)*(1-敌方抗性+AF24)*(1+AG24)/IF($A$39="DPMP",ROUNDUP($B$30*(2-Z24),0),1)/IF($A$39="DPSMP",ROUNDUP($B$31*MAX(0.25,(2-Z24)/Y24),0),1)*防御乘区(AH24)</f>
        <v>853185.928667397</v>
      </c>
      <c r="U24" s="20" cm="1">
        <f t="array" ref="U24">删BUFF取角色属性(U$18,ROWS($E$19:$E24))*(1+删BUFF取角色属性("属性伤",ROWS($E$19:$E24)))</f>
        <v>5999.40772715837</v>
      </c>
      <c r="V24" s="20" cm="1">
        <f t="array" ref="V24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24)),BUFF表[],MATCH("MOD属性",BUFF表[#Headers],0),0),0)),1)))*VLOOKUP(角色MOD,角色MOD表[],MATCH(V$18,角色MOD表[#Headers],0),0),0),IFERROR(VLOOKUP(_xlfn._xlws.FILTER(BUFF,_xlfn.SEQUENCE(ROWS(BUFF))&lt;&gt;ROWS($E$19:$E24)),BUFF表[],MATCH(V$18,BUFF表[#Headers],0),0),0))</f>
        <v>3388.65048</v>
      </c>
      <c r="W24" s="20" cm="1">
        <f t="array" ref="W24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24)),BUFF表[],MATCH("MOD属性",BUFF表[#Headers],0),0),0)),1)))*VLOOKUP(角色MOD,角色MOD表[],MATCH(W$18,角色MOD表[#Headers],0),0),0),IFERROR(VLOOKUP(_xlfn._xlws.FILTER(BUFF,_xlfn.SEQUENCE(ROWS(BUFF))&lt;&gt;ROWS($E$19:$E24)),BUFF表[],MATCH(W$18,BUFF表[#Headers],0),0),0))</f>
        <v>971.49024</v>
      </c>
      <c r="X24" s="23" cm="1">
        <f t="array" ref="X24">删BUFF取角色属性(X$18,ROWS($E$19:$E24))</f>
        <v>7.86554</v>
      </c>
      <c r="Y24" s="23" cm="1">
        <f t="array" ref="Y24">删BUFF取角色属性(Y$18,ROWS($E$19:$E24))</f>
        <v>1</v>
      </c>
      <c r="Z24" s="23" cm="1">
        <f t="array" ref="Z24">删BUFF取角色属性(Z$18,ROWS($E$19:$E24))</f>
        <v>0</v>
      </c>
      <c r="AA24" s="23" cm="1">
        <f t="array" ref="AA24">删BUFF取角色属性(AA$18,ROWS($E$19:$E24))</f>
        <v>1.33594</v>
      </c>
      <c r="AB24" s="23" cm="1">
        <f t="array" ref="AB24">删BUFF取角色属性(AB$18,ROWS($E$19:$E24))</f>
        <v>0</v>
      </c>
      <c r="AC24" s="23" cm="1">
        <f t="array" ref="AC24">删BUFF取角色属性(AC$18,ROWS($E$19:$E24))</f>
        <v>0.83008</v>
      </c>
      <c r="AD24" s="23" cm="1">
        <f t="array" ref="AD24">删BUFF取角色属性(AD$18,ROWS($E$19:$E24))</f>
        <v>2.25</v>
      </c>
      <c r="AE24" s="23" cm="1">
        <f t="array" ref="AE24">删BUFF取角色属性(AE$18,ROWS($E$19:$E24))</f>
        <v>0</v>
      </c>
      <c r="AF24" s="23" cm="1">
        <f t="array" ref="AF24">删BUFF取角色属性(AF$18,ROWS($E$19:$E24))</f>
        <v>0.24</v>
      </c>
      <c r="AG24" s="23" cm="1">
        <f t="array" ref="AG24">删BUFF取角色属性(AG$18,ROWS($E$19:$E24))</f>
        <v>0</v>
      </c>
      <c r="AH24" s="23" cm="1">
        <f t="array" ref="AH24">删BUFF取角色属性(AH$18,ROWS($E$19:$E24))</f>
        <v>0</v>
      </c>
      <c r="AV24" t="str">
        <v>进击</v>
      </c>
      <c r="AW24" t="str">
        <v>狩猎神使</v>
      </c>
      <c r="AX24" t="str">
        <v>刺透</v>
      </c>
    </row>
    <row r="25" spans="1:50">
      <c r="A25" s="68" t="s">
        <v>102</v>
      </c>
      <c r="B25" s="78" cm="1">
        <f t="array" ref="B25">IFERROR(_xlfn.MAP(INDEX(技能表[],MATCH(1,(技能表[名称]=B$23)*(技能表[等级]=1),0),MATCH(A25,技能表[#Headers],0)),INDEX(技能表[],MATCH(1,(技能表[名称]=B$23)*(技能表[等级]=10),0),MATCH(A25,技能表[#Headers],0)),_xlfn.LAMBDA(_xlpm.a,_xlpm.b,_xlpm.a*(1+(_xlpm.b/_xlpm.a-1)/9*(C$23-1)))),0)</f>
        <v>0</v>
      </c>
      <c r="C25" s="78">
        <f t="shared" ref="C25:C27" si="2">B25*$C$12</f>
        <v>0</v>
      </c>
      <c r="D25" s="76">
        <f t="shared" si="1"/>
        <v>0.120689655172414</v>
      </c>
      <c r="E25" s="69" t="s">
        <v>103</v>
      </c>
      <c r="F25" s="69"/>
      <c r="G25" s="102" t="str" cm="1">
        <f t="array" ref="G25">IFERROR(INDEX(BUFF表[#Headers],SMALL(_xlfn._xlws.FILTER(COLUMN(_xlfn.DROP(INDEX(BUFF表[],MATCH($E25,BUFF表[名称],0),),,MATCH("描述",BUFF表[#Headers],0)))*(_xlfn.DROP(INDEX(BUFF表[],MATCH($E25,BUFF表[名称],0),),,MATCH("描述",BUFF表[#Headers],0))&lt;&gt;""),COLUMN(_xlfn.DROP(INDEX(BUFF表[],MATCH($E25,BUFF表[名称],0),),,MATCH("描述",BUFF表[#Headers],0)))*(_xlfn.DROP(INDEX(BUFF表[],MATCH($E25,BUFF表[名称],0),),,MATCH("描述",BUFF表[#Headers],0))&lt;&gt;"")&lt;&gt;0),ROUNDUP(COLUMNS($G25:G25)/2,0))),"")</f>
        <v>增伤</v>
      </c>
      <c r="H25" s="103" cm="1">
        <f t="array" ref="H25">IFERROR(ROUND(IFERROR(1/VLOOKUP($E25,BUFF表[],MATCH("a",BUFF表[#Headers],0),0)*(1+1/VLOOKUP($E25,BUFF表[],MATCH("b",BUFF表[#Headers],0),0)*(IF($F25="",VLOOKUP($E25,BUFF表[],MATCH("dx",BUFF表[#Headers],0),0),$F25)-VLOOKUP($E25,BUFF表[],MATCH("lx",BUFF表[#Headers],0),0))),1)*INDEX(INDEX(BUFF表[],MATCH($E25,BUFF表[名称],0),),SMALL(_xlfn._xlws.FILTER(COLUMN(_xlfn.DROP(INDEX(BUFF表[],MATCH($E25,BUFF表[名称],0),),,MATCH("描述",BUFF表[#Headers],0)))*(_xlfn.DROP(INDEX(BUFF表[],MATCH($E25,BUFF表[名称],0),),,MATCH("描述",BUFF表[#Headers],0))&lt;&gt;""),COLUMN(_xlfn.DROP(INDEX(BUFF表[],MATCH($E25,BUFF表[名称],0),),,MATCH("描述",BUFF表[#Headers],0)))*(_xlfn.DROP(INDEX(BUFF表[],MATCH($E25,BUFF表[名称],0),),,MATCH("描述",BUFF表[#Headers],0))&lt;&gt;"")&lt;&gt;0),ROUNDUP(COLUMNS($G25:G25)/2,0))),3),"")</f>
        <v>0.35</v>
      </c>
      <c r="I25" s="102" t="str" cm="1">
        <f t="array" ref="I25">IFERROR(INDEX(BUFF表[#Headers],SMALL(_xlfn._xlws.FILTER(COLUMN(_xlfn.DROP(INDEX(BUFF表[],MATCH($E25,BUFF表[名称],0),),,MATCH("描述",BUFF表[#Headers],0)))*(_xlfn.DROP(INDEX(BUFF表[],MATCH($E25,BUFF表[名称],0),),,MATCH("描述",BUFF表[#Headers],0))&lt;&gt;""),COLUMN(_xlfn.DROP(INDEX(BUFF表[],MATCH($E25,BUFF表[名称],0),),,MATCH("描述",BUFF表[#Headers],0)))*(_xlfn.DROP(INDEX(BUFF表[],MATCH($E25,BUFF表[名称],0),),,MATCH("描述",BUFF表[#Headers],0))&lt;&gt;"")&lt;&gt;0),ROUNDUP(COLUMNS($G25:I25)/2,0))),"")</f>
        <v/>
      </c>
      <c r="J25" s="103" t="str" cm="1">
        <f t="array" ref="J25">IFERROR(ROUND(IFERROR(1/VLOOKUP($E25,BUFF表[],MATCH("a",BUFF表[#Headers],0),0)*(1+1/VLOOKUP($E25,BUFF表[],MATCH("b",BUFF表[#Headers],0),0)*(IF($F25="",VLOOKUP($E25,BUFF表[],MATCH("dx",BUFF表[#Headers],0),0),$F25)-VLOOKUP($E25,BUFF表[],MATCH("lx",BUFF表[#Headers],0),0))),1)*INDEX(INDEX(BUFF表[],MATCH($E25,BUFF表[名称],0),),SMALL(_xlfn._xlws.FILTER(COLUMN(_xlfn.DROP(INDEX(BUFF表[],MATCH($E25,BUFF表[名称],0),),,MATCH("描述",BUFF表[#Headers],0)))*(_xlfn.DROP(INDEX(BUFF表[],MATCH($E25,BUFF表[名称],0),),,MATCH("描述",BUFF表[#Headers],0))&lt;&gt;""),COLUMN(_xlfn.DROP(INDEX(BUFF表[],MATCH($E25,BUFF表[名称],0),),,MATCH("描述",BUFF表[#Headers],0)))*(_xlfn.DROP(INDEX(BUFF表[],MATCH($E25,BUFF表[名称],0),),,MATCH("描述",BUFF表[#Headers],0))&lt;&gt;"")&lt;&gt;0),ROUNDUP(COLUMNS($G25:I25)/2,0))),3),"")</f>
        <v/>
      </c>
      <c r="K25" s="102" t="str" cm="1">
        <f t="array" ref="K25">IFERROR(INDEX(BUFF表[#Headers],SMALL(_xlfn._xlws.FILTER(COLUMN(_xlfn.DROP(INDEX(BUFF表[],MATCH($E25,BUFF表[名称],0),),,MATCH("描述",BUFF表[#Headers],0)))*(_xlfn.DROP(INDEX(BUFF表[],MATCH($E25,BUFF表[名称],0),),,MATCH("描述",BUFF表[#Headers],0))&lt;&gt;""),COLUMN(_xlfn.DROP(INDEX(BUFF表[],MATCH($E25,BUFF表[名称],0),),,MATCH("描述",BUFF表[#Headers],0)))*(_xlfn.DROP(INDEX(BUFF表[],MATCH($E25,BUFF表[名称],0),),,MATCH("描述",BUFF表[#Headers],0))&lt;&gt;"")&lt;&gt;0),ROUNDUP(COLUMNS($G25:K25)/2,0))),"")</f>
        <v/>
      </c>
      <c r="L25" s="103" t="str" cm="1">
        <f t="array" ref="L25">IFERROR(ROUND(IFERROR(1/VLOOKUP($E25,BUFF表[],MATCH("a",BUFF表[#Headers],0),0)*(1+1/VLOOKUP($E25,BUFF表[],MATCH("b",BUFF表[#Headers],0),0)*(IF($F25="",VLOOKUP($E25,BUFF表[],MATCH("dx",BUFF表[#Headers],0),0),$F25)-VLOOKUP($E25,BUFF表[],MATCH("lx",BUFF表[#Headers],0),0))),1)*INDEX(INDEX(BUFF表[],MATCH($E25,BUFF表[名称],0),),SMALL(_xlfn._xlws.FILTER(COLUMN(_xlfn.DROP(INDEX(BUFF表[],MATCH($E25,BUFF表[名称],0),),,MATCH("描述",BUFF表[#Headers],0)))*(_xlfn.DROP(INDEX(BUFF表[],MATCH($E25,BUFF表[名称],0),),,MATCH("描述",BUFF表[#Headers],0))&lt;&gt;""),COLUMN(_xlfn.DROP(INDEX(BUFF表[],MATCH($E25,BUFF表[名称],0),),,MATCH("描述",BUFF表[#Headers],0)))*(_xlfn.DROP(INDEX(BUFF表[],MATCH($E25,BUFF表[名称],0),),,MATCH("描述",BUFF表[#Headers],0))&lt;&gt;"")&lt;&gt;0),ROUNDUP(COLUMNS($G25:K25)/2,0))),3),"")</f>
        <v/>
      </c>
      <c r="M25" s="102" t="str" cm="1">
        <f t="array" ref="M25">IFERROR(INDEX(BUFF表[#Headers],SMALL(_xlfn._xlws.FILTER(COLUMN(_xlfn.DROP(INDEX(BUFF表[],MATCH($E25,BUFF表[名称],0),),,MATCH("描述",BUFF表[#Headers],0)))*(_xlfn.DROP(INDEX(BUFF表[],MATCH($E25,BUFF表[名称],0),),,MATCH("描述",BUFF表[#Headers],0))&lt;&gt;""),COLUMN(_xlfn.DROP(INDEX(BUFF表[],MATCH($E25,BUFF表[名称],0),),,MATCH("描述",BUFF表[#Headers],0)))*(_xlfn.DROP(INDEX(BUFF表[],MATCH($E25,BUFF表[名称],0),),,MATCH("描述",BUFF表[#Headers],0))&lt;&gt;"")&lt;&gt;0),ROUNDUP(COLUMNS($G25:M25)/2,0))),"")</f>
        <v/>
      </c>
      <c r="N25" s="103" t="str" cm="1">
        <f t="array" ref="N25">IFERROR(ROUND(IFERROR(1/VLOOKUP($E25,BUFF表[],MATCH("a",BUFF表[#Headers],0),0)*(1+1/VLOOKUP($E25,BUFF表[],MATCH("b",BUFF表[#Headers],0),0)*(IF($F25="",VLOOKUP($E25,BUFF表[],MATCH("dx",BUFF表[#Headers],0),0),$F25)-VLOOKUP($E25,BUFF表[],MATCH("lx",BUFF表[#Headers],0),0))),1)*INDEX(INDEX(BUFF表[],MATCH($E25,BUFF表[名称],0),),SMALL(_xlfn._xlws.FILTER(COLUMN(_xlfn.DROP(INDEX(BUFF表[],MATCH($E25,BUFF表[名称],0),),,MATCH("描述",BUFF表[#Headers],0)))*(_xlfn.DROP(INDEX(BUFF表[],MATCH($E25,BUFF表[名称],0),),,MATCH("描述",BUFF表[#Headers],0))&lt;&gt;""),COLUMN(_xlfn.DROP(INDEX(BUFF表[],MATCH($E25,BUFF表[名称],0),),,MATCH("描述",BUFF表[#Headers],0)))*(_xlfn.DROP(INDEX(BUFF表[],MATCH($E25,BUFF表[名称],0),),,MATCH("描述",BUFF表[#Headers],0))&lt;&gt;"")&lt;&gt;0),ROUNDUP(COLUMNS($G25:M25)/2,0))),3),"")</f>
        <v/>
      </c>
      <c r="O25" s="100" t="str">
        <f>IFERROR(VLOOKUP(E25,BUFF表[],MATCH("描述",BUFF表[#Headers],0),0),"")</f>
        <v>释放[抽茧成梦]和[逐光]时，回复自身10.0%的最大生命，并获得造成的伤害提高35.0%效果，持续12秒。</v>
      </c>
      <c r="P25" s="111"/>
      <c r="Q25" s="111"/>
      <c r="R25" s="111"/>
      <c r="S25" s="101"/>
      <c r="T25" s="20" cm="1">
        <f t="array" ref="T25">X25*SUM(B$24*U25,B$26*V25,B$25*W25,B$27)*昂扬背水乘区(AB25,AC25)*SUM(1,AD25,AE25)*(1-敌方抗性+AF25)*(1+AG25)/IF($A$39="DPMP",ROUNDUP($B$30*(2-Z25),0),1)/IF($A$39="DPSMP",ROUNDUP($B$31*MAX(0.25,(2-Z25)/Y25),0),1)*防御乘区(AH25)</f>
        <v>788402.74787024</v>
      </c>
      <c r="U25" s="20" cm="1">
        <f t="array" ref="U25">删BUFF取角色属性(U$18,ROWS($E$19:$E25))*(1+删BUFF取角色属性("属性伤",ROWS($E$19:$E25)))</f>
        <v>6096.68763763837</v>
      </c>
      <c r="V25" s="20" cm="1">
        <f t="array" ref="V25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25)),BUFF表[],MATCH("MOD属性",BUFF表[#Headers],0),0),0)),1)))*VLOOKUP(角色MOD,角色MOD表[],MATCH(V$18,角色MOD表[#Headers],0),0),0),IFERROR(VLOOKUP(_xlfn._xlws.FILTER(BUFF,_xlfn.SEQUENCE(ROWS(BUFF))&lt;&gt;ROWS($E$19:$E25)),BUFF表[],MATCH(V$18,BUFF表[#Headers],0),0),0))</f>
        <v>3388.65048</v>
      </c>
      <c r="W25" s="20" cm="1">
        <f t="array" ref="W25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25)),BUFF表[],MATCH("MOD属性",BUFF表[#Headers],0),0),0)),1)))*VLOOKUP(角色MOD,角色MOD表[],MATCH(W$18,角色MOD表[#Headers],0),0),0),IFERROR(VLOOKUP(_xlfn._xlws.FILTER(BUFF,_xlfn.SEQUENCE(ROWS(BUFF))&lt;&gt;ROWS($E$19:$E25)),BUFF表[],MATCH(W$18,BUFF表[#Headers],0),0),0))</f>
        <v>971.49024</v>
      </c>
      <c r="X25" s="23" cm="1">
        <f t="array" ref="X25">删BUFF取角色属性(X$18,ROWS($E$19:$E25))</f>
        <v>8.01554</v>
      </c>
      <c r="Y25" s="23" cm="1">
        <f t="array" ref="Y25">删BUFF取角色属性(Y$18,ROWS($E$19:$E25))</f>
        <v>1.2</v>
      </c>
      <c r="Z25" s="23" cm="1">
        <f t="array" ref="Z25">删BUFF取角色属性(Z$18,ROWS($E$19:$E25))</f>
        <v>0</v>
      </c>
      <c r="AA25" s="23" cm="1">
        <f t="array" ref="AA25">删BUFF取角色属性(AA$18,ROWS($E$19:$E25))</f>
        <v>1.33594</v>
      </c>
      <c r="AB25" s="23" cm="1">
        <f t="array" ref="AB25">删BUFF取角色属性(AB$18,ROWS($E$19:$E25))</f>
        <v>0</v>
      </c>
      <c r="AC25" s="23" cm="1">
        <f t="array" ref="AC25">删BUFF取角色属性(AC$18,ROWS($E$19:$E25))</f>
        <v>0.83008</v>
      </c>
      <c r="AD25" s="23" cm="1">
        <f t="array" ref="AD25">删BUFF取角色属性(AD$18,ROWS($E$19:$E25))</f>
        <v>1.9</v>
      </c>
      <c r="AE25" s="23" cm="1">
        <f t="array" ref="AE25">删BUFF取角色属性(AE$18,ROWS($E$19:$E25))</f>
        <v>0</v>
      </c>
      <c r="AF25" s="23" cm="1">
        <f t="array" ref="AF25">删BUFF取角色属性(AF$18,ROWS($E$19:$E25))</f>
        <v>0.24</v>
      </c>
      <c r="AG25" s="23" cm="1">
        <f t="array" ref="AG25">删BUFF取角色属性(AG$18,ROWS($E$19:$E25))</f>
        <v>0</v>
      </c>
      <c r="AH25" s="23" cm="1">
        <f t="array" ref="AH25">删BUFF取角色属性(AH$18,ROWS($E$19:$E25))</f>
        <v>0</v>
      </c>
      <c r="AV25" t="str">
        <v>蛮勇</v>
      </c>
      <c r="AW25" t="str">
        <v>狩猎神弃者</v>
      </c>
      <c r="AX25" t="str">
        <v>狩猎秽兽</v>
      </c>
    </row>
    <row r="26" spans="1:50">
      <c r="A26" s="68" t="s">
        <v>104</v>
      </c>
      <c r="B26" s="78" cm="1">
        <f t="array" ref="B26">IFERROR(_xlfn.MAP(INDEX(技能表[],MATCH(1,(技能表[名称]=B$23)*(技能表[等级]=1),0),MATCH(A26,技能表[#Headers],0)),INDEX(技能表[],MATCH(1,(技能表[名称]=B$23)*(技能表[等级]=10),0),MATCH(A26,技能表[#Headers],0)),_xlfn.LAMBDA(_xlpm.a,_xlpm.b,_xlpm.a*(1+(_xlpm.b/_xlpm.a-1)/9*(C$23-1)))),0)</f>
        <v>0</v>
      </c>
      <c r="C26" s="78">
        <f t="shared" si="2"/>
        <v>0</v>
      </c>
      <c r="D26" s="76">
        <f t="shared" si="1"/>
        <v>0.167686448699126</v>
      </c>
      <c r="E26" s="69" t="s">
        <v>105</v>
      </c>
      <c r="F26" s="69"/>
      <c r="G26" s="102" t="str" cm="1">
        <f t="array" ref="G26">IFERROR(INDEX(BUFF表[#Headers],SMALL(_xlfn._xlws.FILTER(COLUMN(_xlfn.DROP(INDEX(BUFF表[],MATCH($E26,BUFF表[名称],0),),,MATCH("描述",BUFF表[#Headers],0)))*(_xlfn.DROP(INDEX(BUFF表[],MATCH($E26,BUFF表[名称],0),),,MATCH("描述",BUFF表[#Headers],0))&lt;&gt;""),COLUMN(_xlfn.DROP(INDEX(BUFF表[],MATCH($E26,BUFF表[名称],0),),,MATCH("描述",BUFF表[#Headers],0)))*(_xlfn.DROP(INDEX(BUFF表[],MATCH($E26,BUFF表[名称],0),),,MATCH("描述",BUFF表[#Headers],0))&lt;&gt;"")&lt;&gt;0),ROUNDUP(COLUMNS($G26:G26)/2,0))),"")</f>
        <v>攻击</v>
      </c>
      <c r="H26" s="103" cm="1">
        <f t="array" ref="H26">IFERROR(ROUND(IFERROR(1/VLOOKUP($E26,BUFF表[],MATCH("a",BUFF表[#Headers],0),0)*(1+1/VLOOKUP($E26,BUFF表[],MATCH("b",BUFF表[#Headers],0),0)*(IF($F26="",VLOOKUP($E26,BUFF表[],MATCH("dx",BUFF表[#Headers],0),0),$F26)-VLOOKUP($E26,BUFF表[],MATCH("lx",BUFF表[#Headers],0),0))),1)*INDEX(INDEX(BUFF表[],MATCH($E26,BUFF表[名称],0),),SMALL(_xlfn._xlws.FILTER(COLUMN(_xlfn.DROP(INDEX(BUFF表[],MATCH($E26,BUFF表[名称],0),),,MATCH("描述",BUFF表[#Headers],0)))*(_xlfn.DROP(INDEX(BUFF表[],MATCH($E26,BUFF表[名称],0),),,MATCH("描述",BUFF表[#Headers],0))&lt;&gt;""),COLUMN(_xlfn.DROP(INDEX(BUFF表[],MATCH($E26,BUFF表[名称],0),),,MATCH("描述",BUFF表[#Headers],0)))*(_xlfn.DROP(INDEX(BUFF表[],MATCH($E26,BUFF表[名称],0),),,MATCH("描述",BUFF表[#Headers],0))&lt;&gt;"")&lt;&gt;0),ROUNDUP(COLUMNS($G26:G26)/2,0))),3),"")</f>
        <v>1.8</v>
      </c>
      <c r="I26" s="102" t="str" cm="1">
        <f t="array" ref="I26">IFERROR(INDEX(BUFF表[#Headers],SMALL(_xlfn._xlws.FILTER(COLUMN(_xlfn.DROP(INDEX(BUFF表[],MATCH($E26,BUFF表[名称],0),),,MATCH("描述",BUFF表[#Headers],0)))*(_xlfn.DROP(INDEX(BUFF表[],MATCH($E26,BUFF表[名称],0),),,MATCH("描述",BUFF表[#Headers],0))&lt;&gt;""),COLUMN(_xlfn.DROP(INDEX(BUFF表[],MATCH($E26,BUFF表[名称],0),),,MATCH("描述",BUFF表[#Headers],0)))*(_xlfn.DROP(INDEX(BUFF表[],MATCH($E26,BUFF表[名称],0),),,MATCH("描述",BUFF表[#Headers],0))&lt;&gt;"")&lt;&gt;0),ROUNDUP(COLUMNS($G26:I26)/2,0))),"")</f>
        <v/>
      </c>
      <c r="J26" s="103" t="str" cm="1">
        <f t="array" ref="J26">IFERROR(ROUND(IFERROR(1/VLOOKUP($E26,BUFF表[],MATCH("a",BUFF表[#Headers],0),0)*(1+1/VLOOKUP($E26,BUFF表[],MATCH("b",BUFF表[#Headers],0),0)*(IF($F26="",VLOOKUP($E26,BUFF表[],MATCH("dx",BUFF表[#Headers],0),0),$F26)-VLOOKUP($E26,BUFF表[],MATCH("lx",BUFF表[#Headers],0),0))),1)*INDEX(INDEX(BUFF表[],MATCH($E26,BUFF表[名称],0),),SMALL(_xlfn._xlws.FILTER(COLUMN(_xlfn.DROP(INDEX(BUFF表[],MATCH($E26,BUFF表[名称],0),),,MATCH("描述",BUFF表[#Headers],0)))*(_xlfn.DROP(INDEX(BUFF表[],MATCH($E26,BUFF表[名称],0),),,MATCH("描述",BUFF表[#Headers],0))&lt;&gt;""),COLUMN(_xlfn.DROP(INDEX(BUFF表[],MATCH($E26,BUFF表[名称],0),),,MATCH("描述",BUFF表[#Headers],0)))*(_xlfn.DROP(INDEX(BUFF表[],MATCH($E26,BUFF表[名称],0),),,MATCH("描述",BUFF表[#Headers],0))&lt;&gt;"")&lt;&gt;0),ROUNDUP(COLUMNS($G26:I26)/2,0))),3),"")</f>
        <v/>
      </c>
      <c r="K26" s="102" t="str" cm="1">
        <f t="array" ref="K26">IFERROR(INDEX(BUFF表[#Headers],SMALL(_xlfn._xlws.FILTER(COLUMN(_xlfn.DROP(INDEX(BUFF表[],MATCH($E26,BUFF表[名称],0),),,MATCH("描述",BUFF表[#Headers],0)))*(_xlfn.DROP(INDEX(BUFF表[],MATCH($E26,BUFF表[名称],0),),,MATCH("描述",BUFF表[#Headers],0))&lt;&gt;""),COLUMN(_xlfn.DROP(INDEX(BUFF表[],MATCH($E26,BUFF表[名称],0),),,MATCH("描述",BUFF表[#Headers],0)))*(_xlfn.DROP(INDEX(BUFF表[],MATCH($E26,BUFF表[名称],0),),,MATCH("描述",BUFF表[#Headers],0))&lt;&gt;"")&lt;&gt;0),ROUNDUP(COLUMNS($G26:K26)/2,0))),"")</f>
        <v/>
      </c>
      <c r="L26" s="103" t="str" cm="1">
        <f t="array" ref="L26">IFERROR(ROUND(IFERROR(1/VLOOKUP($E26,BUFF表[],MATCH("a",BUFF表[#Headers],0),0)*(1+1/VLOOKUP($E26,BUFF表[],MATCH("b",BUFF表[#Headers],0),0)*(IF($F26="",VLOOKUP($E26,BUFF表[],MATCH("dx",BUFF表[#Headers],0),0),$F26)-VLOOKUP($E26,BUFF表[],MATCH("lx",BUFF表[#Headers],0),0))),1)*INDEX(INDEX(BUFF表[],MATCH($E26,BUFF表[名称],0),),SMALL(_xlfn._xlws.FILTER(COLUMN(_xlfn.DROP(INDEX(BUFF表[],MATCH($E26,BUFF表[名称],0),),,MATCH("描述",BUFF表[#Headers],0)))*(_xlfn.DROP(INDEX(BUFF表[],MATCH($E26,BUFF表[名称],0),),,MATCH("描述",BUFF表[#Headers],0))&lt;&gt;""),COLUMN(_xlfn.DROP(INDEX(BUFF表[],MATCH($E26,BUFF表[名称],0),),,MATCH("描述",BUFF表[#Headers],0)))*(_xlfn.DROP(INDEX(BUFF表[],MATCH($E26,BUFF表[名称],0),),,MATCH("描述",BUFF表[#Headers],0))&lt;&gt;"")&lt;&gt;0),ROUNDUP(COLUMNS($G26:K26)/2,0))),3),"")</f>
        <v/>
      </c>
      <c r="M26" s="102" t="str" cm="1">
        <f t="array" ref="M26">IFERROR(INDEX(BUFF表[#Headers],SMALL(_xlfn._xlws.FILTER(COLUMN(_xlfn.DROP(INDEX(BUFF表[],MATCH($E26,BUFF表[名称],0),),,MATCH("描述",BUFF表[#Headers],0)))*(_xlfn.DROP(INDEX(BUFF表[],MATCH($E26,BUFF表[名称],0),),,MATCH("描述",BUFF表[#Headers],0))&lt;&gt;""),COLUMN(_xlfn.DROP(INDEX(BUFF表[],MATCH($E26,BUFF表[名称],0),),,MATCH("描述",BUFF表[#Headers],0)))*(_xlfn.DROP(INDEX(BUFF表[],MATCH($E26,BUFF表[名称],0),),,MATCH("描述",BUFF表[#Headers],0))&lt;&gt;"")&lt;&gt;0),ROUNDUP(COLUMNS($G26:M26)/2,0))),"")</f>
        <v/>
      </c>
      <c r="N26" s="103" t="str" cm="1">
        <f t="array" ref="N26">IFERROR(ROUND(IFERROR(1/VLOOKUP($E26,BUFF表[],MATCH("a",BUFF表[#Headers],0),0)*(1+1/VLOOKUP($E26,BUFF表[],MATCH("b",BUFF表[#Headers],0),0)*(IF($F26="",VLOOKUP($E26,BUFF表[],MATCH("dx",BUFF表[#Headers],0),0),$F26)-VLOOKUP($E26,BUFF表[],MATCH("lx",BUFF表[#Headers],0),0))),1)*INDEX(INDEX(BUFF表[],MATCH($E26,BUFF表[名称],0),),SMALL(_xlfn._xlws.FILTER(COLUMN(_xlfn.DROP(INDEX(BUFF表[],MATCH($E26,BUFF表[名称],0),),,MATCH("描述",BUFF表[#Headers],0)))*(_xlfn.DROP(INDEX(BUFF表[],MATCH($E26,BUFF表[名称],0),),,MATCH("描述",BUFF表[#Headers],0))&lt;&gt;""),COLUMN(_xlfn.DROP(INDEX(BUFF表[],MATCH($E26,BUFF表[名称],0),),,MATCH("描述",BUFF表[#Headers],0)))*(_xlfn.DROP(INDEX(BUFF表[],MATCH($E26,BUFF表[名称],0),),,MATCH("描述",BUFF表[#Headers],0))&lt;&gt;"")&lt;&gt;0),ROUNDUP(COLUMNS($G26:M26)/2,0))),3),"")</f>
        <v/>
      </c>
      <c r="O26" s="100" t="str">
        <f>IFERROR(VLOOKUP(E26,BUFF表[],MATCH("描述",BUFF表[#Headers],0),0),"")</f>
        <v>光属性角色使用任意武器造成追加伤害时，有30.0%概率为附近其他队友附加1层攻击提高18％，持续15.0秒，最多叠加10.0层。</v>
      </c>
      <c r="P26" s="111"/>
      <c r="Q26" s="111"/>
      <c r="R26" s="111"/>
      <c r="S26" s="101"/>
      <c r="T26" s="20" cm="1">
        <f t="array" ref="T26">X26*SUM(B$24*U26,B$26*V26,B$25*W26,B$27)*昂扬背水乘区(AB26,AC26)*SUM(1,AD26,AE26)*(1-敌方抗性+AF26)*(1+AG26)/IF($A$39="DPMP",ROUNDUP($B$30*(2-Z26),0),1)/IF($A$39="DPSMP",ROUNDUP($B$31*MAX(0.25,(2-Z26)/Y26),0),1)*防御乘区(AH26)</f>
        <v>756671.28331584</v>
      </c>
      <c r="U26" s="20" cm="1">
        <f t="array" ref="U26">删BUFF取角色属性(U$18,ROWS($E$19:$E26))*(1+删BUFF取角色属性("属性伤",ROWS($E$19:$E26)))</f>
        <v>5221.16844331837</v>
      </c>
      <c r="V26" s="20" cm="1">
        <f t="array" ref="V26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26)),BUFF表[],MATCH("MOD属性",BUFF表[#Headers],0),0),0)),1)))*VLOOKUP(角色MOD,角色MOD表[],MATCH(V$18,角色MOD表[#Headers],0),0),0),IFERROR(VLOOKUP(_xlfn._xlws.FILTER(BUFF,_xlfn.SEQUENCE(ROWS(BUFF))&lt;&gt;ROWS($E$19:$E26)),BUFF表[],MATCH(V$18,BUFF表[#Headers],0),0),0))</f>
        <v>3388.65048</v>
      </c>
      <c r="W26" s="20" cm="1">
        <f t="array" ref="W26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26)),BUFF表[],MATCH("MOD属性",BUFF表[#Headers],0),0),0)),1)))*VLOOKUP(角色MOD,角色MOD表[],MATCH(W$18,角色MOD表[#Headers],0),0),0),IFERROR(VLOOKUP(_xlfn._xlws.FILTER(BUFF,_xlfn.SEQUENCE(ROWS(BUFF))&lt;&gt;ROWS($E$19:$E26)),BUFF表[],MATCH(W$18,BUFF表[#Headers],0),0),0))</f>
        <v>971.49024</v>
      </c>
      <c r="X26" s="23" cm="1">
        <f t="array" ref="X26">删BUFF取角色属性(X$18,ROWS($E$19:$E26))</f>
        <v>8.01554</v>
      </c>
      <c r="Y26" s="23" cm="1">
        <f t="array" ref="Y26">删BUFF取角色属性(Y$18,ROWS($E$19:$E26))</f>
        <v>1.2</v>
      </c>
      <c r="Z26" s="23" cm="1">
        <f t="array" ref="Z26">删BUFF取角色属性(Z$18,ROWS($E$19:$E26))</f>
        <v>0</v>
      </c>
      <c r="AA26" s="23" cm="1">
        <f t="array" ref="AA26">删BUFF取角色属性(AA$18,ROWS($E$19:$E26))</f>
        <v>1.33594</v>
      </c>
      <c r="AB26" s="23" cm="1">
        <f t="array" ref="AB26">删BUFF取角色属性(AB$18,ROWS($E$19:$E26))</f>
        <v>0</v>
      </c>
      <c r="AC26" s="23" cm="1">
        <f t="array" ref="AC26">删BUFF取角色属性(AC$18,ROWS($E$19:$E26))</f>
        <v>0.83008</v>
      </c>
      <c r="AD26" s="23" cm="1">
        <f t="array" ref="AD26">删BUFF取角色属性(AD$18,ROWS($E$19:$E26))</f>
        <v>2.25</v>
      </c>
      <c r="AE26" s="23" cm="1">
        <f t="array" ref="AE26">删BUFF取角色属性(AE$18,ROWS($E$19:$E26))</f>
        <v>0</v>
      </c>
      <c r="AF26" s="23" cm="1">
        <f t="array" ref="AF26">删BUFF取角色属性(AF$18,ROWS($E$19:$E26))</f>
        <v>0.24</v>
      </c>
      <c r="AG26" s="23" cm="1">
        <f t="array" ref="AG26">删BUFF取角色属性(AG$18,ROWS($E$19:$E26))</f>
        <v>0</v>
      </c>
      <c r="AH26" s="23" cm="1">
        <f t="array" ref="AH26">删BUFF取角色属性(AH$18,ROWS($E$19:$E26))</f>
        <v>0</v>
      </c>
      <c r="AV26" t="str">
        <v>决斗</v>
      </c>
      <c r="AW26" t="str">
        <v>倾力</v>
      </c>
      <c r="AX26" t="str">
        <v>狩猎军团</v>
      </c>
    </row>
    <row r="27" spans="1:50">
      <c r="A27" s="68" t="s">
        <v>106</v>
      </c>
      <c r="B27" s="88" cm="1">
        <f t="array" ref="B27">IFERROR(_xlfn.MAP(INDEX(技能表[],MATCH(1,(技能表[名称]=B$23)*(技能表[等级]=1),0),MATCH(A27,技能表[#Headers],0)),INDEX(技能表[],MATCH(1,(技能表[名称]=B$23)*(技能表[等级]=10),0),MATCH(A27,技能表[#Headers],0)),_xlfn.LAMBDA(_xlpm.a,_xlpm.b,_xlpm.a*(1+(_xlpm.b/_xlpm.a-1)/9*(C$23-1)))),0)</f>
        <v>0</v>
      </c>
      <c r="C27" s="88">
        <f t="shared" si="2"/>
        <v>0</v>
      </c>
      <c r="D27" s="76">
        <f t="shared" si="1"/>
        <v>0.216428571428572</v>
      </c>
      <c r="E27" s="69" t="s">
        <v>107</v>
      </c>
      <c r="F27" s="69"/>
      <c r="G27" s="102" t="str" cm="1">
        <f t="array" ref="G27">IFERROR(INDEX(BUFF表[#Headers],SMALL(_xlfn._xlws.FILTER(COLUMN(_xlfn.DROP(INDEX(BUFF表[],MATCH($E27,BUFF表[名称],0),),,MATCH("描述",BUFF表[#Headers],0)))*(_xlfn.DROP(INDEX(BUFF表[],MATCH($E27,BUFF表[名称],0),),,MATCH("描述",BUFF表[#Headers],0))&lt;&gt;""),COLUMN(_xlfn.DROP(INDEX(BUFF表[],MATCH($E27,BUFF表[名称],0),),,MATCH("描述",BUFF表[#Headers],0)))*(_xlfn.DROP(INDEX(BUFF表[],MATCH($E27,BUFF表[名称],0),),,MATCH("描述",BUFF表[#Headers],0))&lt;&gt;"")&lt;&gt;0),ROUNDUP(COLUMNS($G27:G27)/2,0))),"")</f>
        <v>增伤</v>
      </c>
      <c r="H27" s="103" cm="1">
        <f t="array" ref="H27">IFERROR(ROUND(IFERROR(1/VLOOKUP($E27,BUFF表[],MATCH("a",BUFF表[#Headers],0),0)*(1+1/VLOOKUP($E27,BUFF表[],MATCH("b",BUFF表[#Headers],0),0)*(IF($F27="",VLOOKUP($E27,BUFF表[],MATCH("dx",BUFF表[#Headers],0),0),$F27)-VLOOKUP($E27,BUFF表[],MATCH("lx",BUFF表[#Headers],0),0))),1)*INDEX(INDEX(BUFF表[],MATCH($E27,BUFF表[名称],0),),SMALL(_xlfn._xlws.FILTER(COLUMN(_xlfn.DROP(INDEX(BUFF表[],MATCH($E27,BUFF表[名称],0),),,MATCH("描述",BUFF表[#Headers],0)))*(_xlfn.DROP(INDEX(BUFF表[],MATCH($E27,BUFF表[名称],0),),,MATCH("描述",BUFF表[#Headers],0))&lt;&gt;""),COLUMN(_xlfn.DROP(INDEX(BUFF表[],MATCH($E27,BUFF表[名称],0),),,MATCH("描述",BUFF表[#Headers],0)))*(_xlfn.DROP(INDEX(BUFF表[],MATCH($E27,BUFF表[名称],0),),,MATCH("描述",BUFF表[#Headers],0))&lt;&gt;"")&lt;&gt;0),ROUNDUP(COLUMNS($G27:G27)/2,0))),3),"")</f>
        <v>0.45</v>
      </c>
      <c r="I27" s="102" t="str" cm="1">
        <f t="array" ref="I27">IFERROR(INDEX(BUFF表[#Headers],SMALL(_xlfn._xlws.FILTER(COLUMN(_xlfn.DROP(INDEX(BUFF表[],MATCH($E27,BUFF表[名称],0),),,MATCH("描述",BUFF表[#Headers],0)))*(_xlfn.DROP(INDEX(BUFF表[],MATCH($E27,BUFF表[名称],0),),,MATCH("描述",BUFF表[#Headers],0))&lt;&gt;""),COLUMN(_xlfn.DROP(INDEX(BUFF表[],MATCH($E27,BUFF表[名称],0),),,MATCH("描述",BUFF表[#Headers],0)))*(_xlfn.DROP(INDEX(BUFF表[],MATCH($E27,BUFF表[名称],0),),,MATCH("描述",BUFF表[#Headers],0))&lt;&gt;"")&lt;&gt;0),ROUNDUP(COLUMNS($G27:I27)/2,0))),"")</f>
        <v>追加伤害</v>
      </c>
      <c r="J27" s="103" cm="1">
        <f t="array" ref="J27">IFERROR(ROUND(IFERROR(1/VLOOKUP($E27,BUFF表[],MATCH("a",BUFF表[#Headers],0),0)*(1+1/VLOOKUP($E27,BUFF表[],MATCH("b",BUFF表[#Headers],0),0)*(IF($F27="",VLOOKUP($E27,BUFF表[],MATCH("dx",BUFF表[#Headers],0),0),$F27)-VLOOKUP($E27,BUFF表[],MATCH("lx",BUFF表[#Headers],0),0))),1)*INDEX(INDEX(BUFF表[],MATCH($E27,BUFF表[名称],0),),SMALL(_xlfn._xlws.FILTER(COLUMN(_xlfn.DROP(INDEX(BUFF表[],MATCH($E27,BUFF表[名称],0),),,MATCH("描述",BUFF表[#Headers],0)))*(_xlfn.DROP(INDEX(BUFF表[],MATCH($E27,BUFF表[名称],0),),,MATCH("描述",BUFF表[#Headers],0))&lt;&gt;""),COLUMN(_xlfn.DROP(INDEX(BUFF表[],MATCH($E27,BUFF表[名称],0),),,MATCH("描述",BUFF表[#Headers],0)))*(_xlfn.DROP(INDEX(BUFF表[],MATCH($E27,BUFF表[名称],0),),,MATCH("描述",BUFF表[#Headers],0))&lt;&gt;"")&lt;&gt;0),ROUNDUP(COLUMNS($G27:I27)/2,0))),3),"")</f>
        <v>0.6</v>
      </c>
      <c r="K27" s="102" t="str" cm="1">
        <f t="array" ref="K27">IFERROR(INDEX(BUFF表[#Headers],SMALL(_xlfn._xlws.FILTER(COLUMN(_xlfn.DROP(INDEX(BUFF表[],MATCH($E27,BUFF表[名称],0),),,MATCH("描述",BUFF表[#Headers],0)))*(_xlfn.DROP(INDEX(BUFF表[],MATCH($E27,BUFF表[名称],0),),,MATCH("描述",BUFF表[#Headers],0))&lt;&gt;""),COLUMN(_xlfn.DROP(INDEX(BUFF表[],MATCH($E27,BUFF表[名称],0),),,MATCH("描述",BUFF表[#Headers],0)))*(_xlfn.DROP(INDEX(BUFF表[],MATCH($E27,BUFF表[名称],0),),,MATCH("描述",BUFF表[#Headers],0))&lt;&gt;"")&lt;&gt;0),ROUNDUP(COLUMNS($G27:K27)/2,0))),"")</f>
        <v>属性穿透</v>
      </c>
      <c r="L27" s="103" cm="1">
        <f t="array" ref="L27">IFERROR(ROUND(IFERROR(1/VLOOKUP($E27,BUFF表[],MATCH("a",BUFF表[#Headers],0),0)*(1+1/VLOOKUP($E27,BUFF表[],MATCH("b",BUFF表[#Headers],0),0)*(IF($F27="",VLOOKUP($E27,BUFF表[],MATCH("dx",BUFF表[#Headers],0),0),$F27)-VLOOKUP($E27,BUFF表[],MATCH("lx",BUFF表[#Headers],0),0))),1)*INDEX(INDEX(BUFF表[],MATCH($E27,BUFF表[名称],0),),SMALL(_xlfn._xlws.FILTER(COLUMN(_xlfn.DROP(INDEX(BUFF表[],MATCH($E27,BUFF表[名称],0),),,MATCH("描述",BUFF表[#Headers],0)))*(_xlfn.DROP(INDEX(BUFF表[],MATCH($E27,BUFF表[名称],0),),,MATCH("描述",BUFF表[#Headers],0))&lt;&gt;""),COLUMN(_xlfn.DROP(INDEX(BUFF表[],MATCH($E27,BUFF表[名称],0),),,MATCH("描述",BUFF表[#Headers],0)))*(_xlfn.DROP(INDEX(BUFF表[],MATCH($E27,BUFF表[名称],0),),,MATCH("描述",BUFF表[#Headers],0))&lt;&gt;"")&lt;&gt;0),ROUNDUP(COLUMNS($G27:K27)/2,0))),3),"")</f>
        <v>0.24</v>
      </c>
      <c r="M27" s="102" t="str" cm="1">
        <f t="array" ref="M27">IFERROR(INDEX(BUFF表[#Headers],SMALL(_xlfn._xlws.FILTER(COLUMN(_xlfn.DROP(INDEX(BUFF表[],MATCH($E27,BUFF表[名称],0),),,MATCH("描述",BUFF表[#Headers],0)))*(_xlfn.DROP(INDEX(BUFF表[],MATCH($E27,BUFF表[名称],0),),,MATCH("描述",BUFF表[#Headers],0))&lt;&gt;""),COLUMN(_xlfn.DROP(INDEX(BUFF表[],MATCH($E27,BUFF表[名称],0),),,MATCH("描述",BUFF表[#Headers],0)))*(_xlfn.DROP(INDEX(BUFF表[],MATCH($E27,BUFF表[名称],0),),,MATCH("描述",BUFF表[#Headers],0))&lt;&gt;"")&lt;&gt;0),ROUNDUP(COLUMNS($G27:M27)/2,0))),"")</f>
        <v>异常数量</v>
      </c>
      <c r="N27" s="103" cm="1">
        <f t="array" ref="N27">IFERROR(ROUND(IFERROR(1/VLOOKUP($E27,BUFF表[],MATCH("a",BUFF表[#Headers],0),0)*(1+1/VLOOKUP($E27,BUFF表[],MATCH("b",BUFF表[#Headers],0),0)*(IF($F27="",VLOOKUP($E27,BUFF表[],MATCH("dx",BUFF表[#Headers],0),0),$F27)-VLOOKUP($E27,BUFF表[],MATCH("lx",BUFF表[#Headers],0),0))),1)*INDEX(INDEX(BUFF表[],MATCH($E27,BUFF表[名称],0),),SMALL(_xlfn._xlws.FILTER(COLUMN(_xlfn.DROP(INDEX(BUFF表[],MATCH($E27,BUFF表[名称],0),),,MATCH("描述",BUFF表[#Headers],0)))*(_xlfn.DROP(INDEX(BUFF表[],MATCH($E27,BUFF表[名称],0),),,MATCH("描述",BUFF表[#Headers],0))&lt;&gt;""),COLUMN(_xlfn.DROP(INDEX(BUFF表[],MATCH($E27,BUFF表[名称],0),),,MATCH("描述",BUFF表[#Headers],0)))*(_xlfn.DROP(INDEX(BUFF表[],MATCH($E27,BUFF表[名称],0),),,MATCH("描述",BUFF表[#Headers],0))&lt;&gt;"")&lt;&gt;0),ROUNDUP(COLUMNS($G27:M27)/2,0))),3),"")</f>
        <v>4</v>
      </c>
      <c r="O27" s="100" t="str">
        <f>IFERROR(VLOOKUP(E27,BUFF表[],MATCH("描述",BUFF表[#Headers],0),0),"")</f>
        <v>额外附加水、火、雷、风追加伤害并根据[梦笔生花]层数为自身和队友附加伤害提高效果</v>
      </c>
      <c r="P27" s="111"/>
      <c r="Q27" s="111"/>
      <c r="R27" s="111"/>
      <c r="S27" s="101"/>
      <c r="T27" s="20" cm="1">
        <f t="array" ref="T27">X27*SUM(B$24*U27,B$26*V27,B$25*W27,B$27)*昂扬背水乘区(AB27,AC27)*SUM(1,AD27,AE27)*(1-敌方抗性+AF27)*(1+AG27)/IF($A$39="DPMP",ROUNDUP($B$30*(2-Z27),0),1)/IF($A$39="DPSMP",ROUNDUP($B$31*MAX(0.25,(2-Z27)/Y27),0),1)*防御乘区(AH27)</f>
        <v>726351.570820174</v>
      </c>
      <c r="U27" s="20" cm="1">
        <f t="array" ref="U27">删BUFF取角色属性(U$18,ROWS($E$19:$E27))*(1+删BUFF取角色属性("属性伤",ROWS($E$19:$E27)))</f>
        <v>6096.68763763837</v>
      </c>
      <c r="V27" s="20" cm="1">
        <f t="array" ref="V27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27)),BUFF表[],MATCH("MOD属性",BUFF表[#Headers],0),0),0)),1)))*VLOOKUP(角色MOD,角色MOD表[],MATCH(V$18,角色MOD表[#Headers],0),0),0),IFERROR(VLOOKUP(_xlfn._xlws.FILTER(BUFF,_xlfn.SEQUENCE(ROWS(BUFF))&lt;&gt;ROWS($E$19:$E27)),BUFF表[],MATCH(V$18,BUFF表[#Headers],0),0),0))</f>
        <v>3388.65048</v>
      </c>
      <c r="W27" s="20" cm="1">
        <f t="array" ref="W27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27)),BUFF表[],MATCH("MOD属性",BUFF表[#Headers],0),0),0)),1)))*VLOOKUP(角色MOD,角色MOD表[],MATCH(W$18,角色MOD表[#Headers],0),0),0),IFERROR(VLOOKUP(_xlfn._xlws.FILTER(BUFF,_xlfn.SEQUENCE(ROWS(BUFF))&lt;&gt;ROWS($E$19:$E27)),BUFF表[],MATCH(W$18,BUFF表[#Headers],0),0),0))</f>
        <v>971.49024</v>
      </c>
      <c r="X27" s="23" cm="1">
        <f t="array" ref="X27">删BUFF取角色属性(X$18,ROWS($E$19:$E27))</f>
        <v>8.01554</v>
      </c>
      <c r="Y27" s="23" cm="1">
        <f t="array" ref="Y27">删BUFF取角色属性(Y$18,ROWS($E$19:$E27))</f>
        <v>1.2</v>
      </c>
      <c r="Z27" s="23" cm="1">
        <f t="array" ref="Z27">删BUFF取角色属性(Z$18,ROWS($E$19:$E27))</f>
        <v>0</v>
      </c>
      <c r="AA27" s="23" cm="1">
        <f t="array" ref="AA27">删BUFF取角色属性(AA$18,ROWS($E$19:$E27))</f>
        <v>1.33594</v>
      </c>
      <c r="AB27" s="23" cm="1">
        <f t="array" ref="AB27">删BUFF取角色属性(AB$18,ROWS($E$19:$E27))</f>
        <v>0</v>
      </c>
      <c r="AC27" s="23" cm="1">
        <f t="array" ref="AC27">删BUFF取角色属性(AC$18,ROWS($E$19:$E27))</f>
        <v>0.83008</v>
      </c>
      <c r="AD27" s="23" cm="1">
        <f t="array" ref="AD27">删BUFF取角色属性(AD$18,ROWS($E$19:$E27))</f>
        <v>1.8</v>
      </c>
      <c r="AE27" s="23" cm="1">
        <f t="array" ref="AE27">删BUFF取角色属性(AE$18,ROWS($E$19:$E27))</f>
        <v>0</v>
      </c>
      <c r="AF27" s="23" cm="1">
        <f t="array" ref="AF27">删BUFF取角色属性(AF$18,ROWS($E$19:$E27))</f>
        <v>0</v>
      </c>
      <c r="AG27" s="23" cm="1">
        <f t="array" ref="AG27">删BUFF取角色属性(AG$18,ROWS($E$19:$E27))</f>
        <v>0</v>
      </c>
      <c r="AH27" s="23" cm="1">
        <f t="array" ref="AH27">删BUFF取角色属性(AH$18,ROWS($E$19:$E27))</f>
        <v>0</v>
      </c>
      <c r="AV27" t="str">
        <v>陷阵</v>
      </c>
      <c r="AW27" t="str">
        <v>幸运</v>
      </c>
      <c r="AX27" t="str">
        <v>狩猎神使</v>
      </c>
    </row>
    <row r="28" spans="1:50">
      <c r="A28" s="68" t="s">
        <v>108</v>
      </c>
      <c r="B28" s="88" cm="1">
        <f t="array" ref="B28">IFERROR(_xlfn.MAP(INDEX(技能表[],MATCH(1,(技能表[名称]=B$23)*(技能表[等级]=1),0),MATCH(A28,技能表[#Headers],0)),INDEX(技能表[],MATCH(1,(技能表[名称]=B$23)*(技能表[等级]=10),0),MATCH(A28,技能表[#Headers],0)),_xlfn.LAMBDA(_xlpm.a,_xlpm.b,_xlpm.a*(1+(_xlpm.b/_xlpm.a-1)/9*(C$23-1)))),0)</f>
        <v>0</v>
      </c>
      <c r="C28" s="88">
        <f>IFERROR(VLOOKUP($B$23,技能表[],MATCH(A28,技能表[#Headers],0),0),0)*C15+IFERROR(VLOOKUP($B$23,技能表[],MATCH("固定范围",技能表[#Headers],0),0),0)</f>
        <v>50</v>
      </c>
      <c r="D28" s="76">
        <f t="shared" si="1"/>
        <v>0</v>
      </c>
      <c r="E28" s="69" t="s">
        <v>109</v>
      </c>
      <c r="F28" s="69"/>
      <c r="G28" s="102" t="str" cm="1">
        <f t="array" ref="G28">IFERROR(INDEX(BUFF表[#Headers],SMALL(_xlfn._xlws.FILTER(COLUMN(_xlfn.DROP(INDEX(BUFF表[],MATCH($E28,BUFF表[名称],0),),,MATCH("描述",BUFF表[#Headers],0)))*(_xlfn.DROP(INDEX(BUFF表[],MATCH($E28,BUFF表[名称],0),),,MATCH("描述",BUFF表[#Headers],0))&lt;&gt;""),COLUMN(_xlfn.DROP(INDEX(BUFF表[],MATCH($E28,BUFF表[名称],0),),,MATCH("描述",BUFF表[#Headers],0)))*(_xlfn.DROP(INDEX(BUFF表[],MATCH($E28,BUFF表[名称],0),),,MATCH("描述",BUFF表[#Headers],0))&lt;&gt;"")&lt;&gt;0),ROUNDUP(COLUMNS($G28:G28)/2,0))),"")</f>
        <v>暴击</v>
      </c>
      <c r="H28" s="103" cm="1">
        <f t="array" ref="H28">IFERROR(ROUND(IFERROR(1/VLOOKUP($E28,BUFF表[],MATCH("a",BUFF表[#Headers],0),0)*(1+1/VLOOKUP($E28,BUFF表[],MATCH("b",BUFF表[#Headers],0),0)*(IF($F28="",VLOOKUP($E28,BUFF表[],MATCH("dx",BUFF表[#Headers],0),0),$F28)-VLOOKUP($E28,BUFF表[],MATCH("lx",BUFF表[#Headers],0),0))),1)*INDEX(INDEX(BUFF表[],MATCH($E28,BUFF表[名称],0),),SMALL(_xlfn._xlws.FILTER(COLUMN(_xlfn.DROP(INDEX(BUFF表[],MATCH($E28,BUFF表[名称],0),),,MATCH("描述",BUFF表[#Headers],0)))*(_xlfn.DROP(INDEX(BUFF表[],MATCH($E28,BUFF表[名称],0),),,MATCH("描述",BUFF表[#Headers],0))&lt;&gt;""),COLUMN(_xlfn.DROP(INDEX(BUFF表[],MATCH($E28,BUFF表[名称],0),),,MATCH("描述",BUFF表[#Headers],0)))*(_xlfn.DROP(INDEX(BUFF表[],MATCH($E28,BUFF表[名称],0),),,MATCH("描述",BUFF表[#Headers],0))&lt;&gt;"")&lt;&gt;0),ROUNDUP(COLUMNS($G28:G28)/2,0))),3),"")</f>
        <v>0.75</v>
      </c>
      <c r="I28" s="102" t="str" cm="1">
        <f t="array" ref="I28">IFERROR(INDEX(BUFF表[#Headers],SMALL(_xlfn._xlws.FILTER(COLUMN(_xlfn.DROP(INDEX(BUFF表[],MATCH($E28,BUFF表[名称],0),),,MATCH("描述",BUFF表[#Headers],0)))*(_xlfn.DROP(INDEX(BUFF表[],MATCH($E28,BUFF表[名称],0),),,MATCH("描述",BUFF表[#Headers],0))&lt;&gt;""),COLUMN(_xlfn.DROP(INDEX(BUFF表[],MATCH($E28,BUFF表[名称],0),),,MATCH("描述",BUFF表[#Headers],0)))*(_xlfn.DROP(INDEX(BUFF表[],MATCH($E28,BUFF表[名称],0),),,MATCH("描述",BUFF表[#Headers],0))&lt;&gt;"")&lt;&gt;0),ROUNDUP(COLUMNS($G28:I28)/2,0))),"")</f>
        <v/>
      </c>
      <c r="J28" s="103" t="str" cm="1">
        <f t="array" ref="J28">IFERROR(ROUND(IFERROR(1/VLOOKUP($E28,BUFF表[],MATCH("a",BUFF表[#Headers],0),0)*(1+1/VLOOKUP($E28,BUFF表[],MATCH("b",BUFF表[#Headers],0),0)*(IF($F28="",VLOOKUP($E28,BUFF表[],MATCH("dx",BUFF表[#Headers],0),0),$F28)-VLOOKUP($E28,BUFF表[],MATCH("lx",BUFF表[#Headers],0),0))),1)*INDEX(INDEX(BUFF表[],MATCH($E28,BUFF表[名称],0),),SMALL(_xlfn._xlws.FILTER(COLUMN(_xlfn.DROP(INDEX(BUFF表[],MATCH($E28,BUFF表[名称],0),),,MATCH("描述",BUFF表[#Headers],0)))*(_xlfn.DROP(INDEX(BUFF表[],MATCH($E28,BUFF表[名称],0),),,MATCH("描述",BUFF表[#Headers],0))&lt;&gt;""),COLUMN(_xlfn.DROP(INDEX(BUFF表[],MATCH($E28,BUFF表[名称],0),),,MATCH("描述",BUFF表[#Headers],0)))*(_xlfn.DROP(INDEX(BUFF表[],MATCH($E28,BUFF表[名称],0),),,MATCH("描述",BUFF表[#Headers],0))&lt;&gt;"")&lt;&gt;0),ROUNDUP(COLUMNS($G28:I28)/2,0))),3),"")</f>
        <v/>
      </c>
      <c r="K28" s="102" t="str" cm="1">
        <f t="array" ref="K28">IFERROR(INDEX(BUFF表[#Headers],SMALL(_xlfn._xlws.FILTER(COLUMN(_xlfn.DROP(INDEX(BUFF表[],MATCH($E28,BUFF表[名称],0),),,MATCH("描述",BUFF表[#Headers],0)))*(_xlfn.DROP(INDEX(BUFF表[],MATCH($E28,BUFF表[名称],0),),,MATCH("描述",BUFF表[#Headers],0))&lt;&gt;""),COLUMN(_xlfn.DROP(INDEX(BUFF表[],MATCH($E28,BUFF表[名称],0),),,MATCH("描述",BUFF表[#Headers],0)))*(_xlfn.DROP(INDEX(BUFF表[],MATCH($E28,BUFF表[名称],0),),,MATCH("描述",BUFF表[#Headers],0))&lt;&gt;"")&lt;&gt;0),ROUNDUP(COLUMNS($G28:K28)/2,0))),"")</f>
        <v/>
      </c>
      <c r="L28" s="103" t="str" cm="1">
        <f t="array" ref="L28">IFERROR(ROUND(IFERROR(1/VLOOKUP($E28,BUFF表[],MATCH("a",BUFF表[#Headers],0),0)*(1+1/VLOOKUP($E28,BUFF表[],MATCH("b",BUFF表[#Headers],0),0)*(IF($F28="",VLOOKUP($E28,BUFF表[],MATCH("dx",BUFF表[#Headers],0),0),$F28)-VLOOKUP($E28,BUFF表[],MATCH("lx",BUFF表[#Headers],0),0))),1)*INDEX(INDEX(BUFF表[],MATCH($E28,BUFF表[名称],0),),SMALL(_xlfn._xlws.FILTER(COLUMN(_xlfn.DROP(INDEX(BUFF表[],MATCH($E28,BUFF表[名称],0),),,MATCH("描述",BUFF表[#Headers],0)))*(_xlfn.DROP(INDEX(BUFF表[],MATCH($E28,BUFF表[名称],0),),,MATCH("描述",BUFF表[#Headers],0))&lt;&gt;""),COLUMN(_xlfn.DROP(INDEX(BUFF表[],MATCH($E28,BUFF表[名称],0),),,MATCH("描述",BUFF表[#Headers],0)))*(_xlfn.DROP(INDEX(BUFF表[],MATCH($E28,BUFF表[名称],0),),,MATCH("描述",BUFF表[#Headers],0))&lt;&gt;"")&lt;&gt;0),ROUNDUP(COLUMNS($G28:K28)/2,0))),3),"")</f>
        <v/>
      </c>
      <c r="M28" s="102" t="str" cm="1">
        <f t="array" ref="M28">IFERROR(INDEX(BUFF表[#Headers],SMALL(_xlfn._xlws.FILTER(COLUMN(_xlfn.DROP(INDEX(BUFF表[],MATCH($E28,BUFF表[名称],0),),,MATCH("描述",BUFF表[#Headers],0)))*(_xlfn.DROP(INDEX(BUFF表[],MATCH($E28,BUFF表[名称],0),),,MATCH("描述",BUFF表[#Headers],0))&lt;&gt;""),COLUMN(_xlfn.DROP(INDEX(BUFF表[],MATCH($E28,BUFF表[名称],0),),,MATCH("描述",BUFF表[#Headers],0)))*(_xlfn.DROP(INDEX(BUFF表[],MATCH($E28,BUFF表[名称],0),),,MATCH("描述",BUFF表[#Headers],0))&lt;&gt;"")&lt;&gt;0),ROUNDUP(COLUMNS($G28:M28)/2,0))),"")</f>
        <v/>
      </c>
      <c r="N28" s="103" t="str" cm="1">
        <f t="array" ref="N28">IFERROR(ROUND(IFERROR(1/VLOOKUP($E28,BUFF表[],MATCH("a",BUFF表[#Headers],0),0)*(1+1/VLOOKUP($E28,BUFF表[],MATCH("b",BUFF表[#Headers],0),0)*(IF($F28="",VLOOKUP($E28,BUFF表[],MATCH("dx",BUFF表[#Headers],0),0),$F28)-VLOOKUP($E28,BUFF表[],MATCH("lx",BUFF表[#Headers],0),0))),1)*INDEX(INDEX(BUFF表[],MATCH($E28,BUFF表[名称],0),),SMALL(_xlfn._xlws.FILTER(COLUMN(_xlfn.DROP(INDEX(BUFF表[],MATCH($E28,BUFF表[名称],0),),,MATCH("描述",BUFF表[#Headers],0)))*(_xlfn.DROP(INDEX(BUFF表[],MATCH($E28,BUFF表[名称],0),),,MATCH("描述",BUFF表[#Headers],0))&lt;&gt;""),COLUMN(_xlfn.DROP(INDEX(BUFF表[],MATCH($E28,BUFF表[名称],0),),,MATCH("描述",BUFF表[#Headers],0)))*(_xlfn.DROP(INDEX(BUFF表[],MATCH($E28,BUFF表[名称],0),),,MATCH("描述",BUFF表[#Headers],0))&lt;&gt;"")&lt;&gt;0),ROUNDUP(COLUMNS($G28:M28)/2,0))),3),"")</f>
        <v/>
      </c>
      <c r="O28" s="100" t="str">
        <f>IFERROR(VLOOKUP(E28,BUFF表[],MATCH("描述",BUFF表[#Headers],0),0),"")</f>
        <v>光属性角色周围的敌人受到武器伤害时，暴击率提高60%，对带有额外效果负面状态的目标额外提高15%。</v>
      </c>
      <c r="P28" s="111"/>
      <c r="Q28" s="111"/>
      <c r="R28" s="111"/>
      <c r="S28" s="101"/>
      <c r="T28" s="20" cm="1">
        <f t="array" ref="T28">X28*SUM(B$24*U28,B$26*V28,B$25*W28,B$27)*昂扬背水乘区(AB28,AC28)*SUM(1,AD28,AE28)*(1-敌方抗性+AF28)*(1+AG28)/IF($A$39="DPMP",ROUNDUP($B$30*(2-Z28),0),1)/IF($A$39="DPSMP",ROUNDUP($B$31*MAX(0.25,(2-Z28)/Y28),0),1)*防御乘区(AH28)</f>
        <v>883554.803647683</v>
      </c>
      <c r="U28" s="20" cm="1">
        <f t="array" ref="U28">删BUFF取角色属性(U$18,ROWS($E$19:$E28))*(1+删BUFF取角色属性("属性伤",ROWS($E$19:$E28)))</f>
        <v>6096.68763763837</v>
      </c>
      <c r="V28" s="20" cm="1">
        <f t="array" ref="V28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28)),BUFF表[],MATCH("MOD属性",BUFF表[#Headers],0),0),0)),1)))*VLOOKUP(角色MOD,角色MOD表[],MATCH(V$18,角色MOD表[#Headers],0),0),0),IFERROR(VLOOKUP(_xlfn._xlws.FILTER(BUFF,_xlfn.SEQUENCE(ROWS(BUFF))&lt;&gt;ROWS($E$19:$E28)),BUFF表[],MATCH(V$18,BUFF表[#Headers],0),0),0))</f>
        <v>3388.65048</v>
      </c>
      <c r="W28" s="20" cm="1">
        <f t="array" ref="W28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28)),BUFF表[],MATCH("MOD属性",BUFF表[#Headers],0),0),0)),1)))*VLOOKUP(角色MOD,角色MOD表[],MATCH(W$18,角色MOD表[#Headers],0),0),0),IFERROR(VLOOKUP(_xlfn._xlws.FILTER(BUFF,_xlfn.SEQUENCE(ROWS(BUFF))&lt;&gt;ROWS($E$19:$E28)),BUFF表[],MATCH(W$18,BUFF表[#Headers],0),0),0))</f>
        <v>971.49024</v>
      </c>
      <c r="X28" s="23" cm="1">
        <f t="array" ref="X28">删BUFF取角色属性(X$18,ROWS($E$19:$E28))</f>
        <v>8.01554</v>
      </c>
      <c r="Y28" s="23" cm="1">
        <f t="array" ref="Y28">删BUFF取角色属性(Y$18,ROWS($E$19:$E28))</f>
        <v>1.2</v>
      </c>
      <c r="Z28" s="23" cm="1">
        <f t="array" ref="Z28">删BUFF取角色属性(Z$18,ROWS($E$19:$E28))</f>
        <v>0</v>
      </c>
      <c r="AA28" s="23" cm="1">
        <f t="array" ref="AA28">删BUFF取角色属性(AA$18,ROWS($E$19:$E28))</f>
        <v>1.33594</v>
      </c>
      <c r="AB28" s="23" cm="1">
        <f t="array" ref="AB28">删BUFF取角色属性(AB$18,ROWS($E$19:$E28))</f>
        <v>0</v>
      </c>
      <c r="AC28" s="23" cm="1">
        <f t="array" ref="AC28">删BUFF取角色属性(AC$18,ROWS($E$19:$E28))</f>
        <v>0.83008</v>
      </c>
      <c r="AD28" s="23" cm="1">
        <f t="array" ref="AD28">删BUFF取角色属性(AD$18,ROWS($E$19:$E28))</f>
        <v>2.25</v>
      </c>
      <c r="AE28" s="23" cm="1">
        <f t="array" ref="AE28">删BUFF取角色属性(AE$18,ROWS($E$19:$E28))</f>
        <v>0</v>
      </c>
      <c r="AF28" s="23" cm="1">
        <f t="array" ref="AF28">删BUFF取角色属性(AF$18,ROWS($E$19:$E28))</f>
        <v>0.24</v>
      </c>
      <c r="AG28" s="23" cm="1">
        <f t="array" ref="AG28">删BUFF取角色属性(AG$18,ROWS($E$19:$E28))</f>
        <v>0</v>
      </c>
      <c r="AH28" s="23" cm="1">
        <f t="array" ref="AH28">删BUFF取角色属性(AH$18,ROWS($E$19:$E28))</f>
        <v>0</v>
      </c>
      <c r="AV28" t="str">
        <v>乘势</v>
      </c>
      <c r="AW28" t="str">
        <v>连环</v>
      </c>
      <c r="AX28" t="str">
        <v>狩猎神弃者</v>
      </c>
    </row>
    <row r="29" spans="1:50">
      <c r="A29" s="68" t="s">
        <v>110</v>
      </c>
      <c r="B29" s="88" cm="1">
        <f t="array" ref="B29">IFERROR(_xlfn.MAP(INDEX(技能表[],MATCH(1,(技能表[名称]=B$23)*(技能表[等级]=1),0),MATCH(A29,技能表[#Headers],0)),INDEX(技能表[],MATCH(1,(技能表[名称]=B$23)*(技能表[等级]=10),0),MATCH(A29,技能表[#Headers],0)),_xlfn.LAMBDA(_xlpm.a,_xlpm.b,_xlpm.a*(1+(_xlpm.b/_xlpm.a-1)/9*(C$23-1)))),0)</f>
        <v>10</v>
      </c>
      <c r="C29" s="88">
        <f>IFERROR(VLOOKUP($B$23,技能表[],MATCH(A29,技能表[#Headers],0),0),0)*C13+IFERROR(VLOOKUP($B$23,技能表[],MATCH("固定持续",技能表[#Headers],0),0),0)</f>
        <v>12</v>
      </c>
      <c r="D29" s="76">
        <f t="shared" si="1"/>
        <v>0.0992235838088497</v>
      </c>
      <c r="E29" s="69" t="s">
        <v>111</v>
      </c>
      <c r="F29" s="69"/>
      <c r="G29" s="102" t="str" cm="1">
        <f t="array" ref="G29">IFERROR(INDEX(BUFF表[#Headers],SMALL(_xlfn._xlws.FILTER(COLUMN(_xlfn.DROP(INDEX(BUFF表[],MATCH($E29,BUFF表[名称],0),),,MATCH("描述",BUFF表[#Headers],0)))*(_xlfn.DROP(INDEX(BUFF表[],MATCH($E29,BUFF表[名称],0),),,MATCH("描述",BUFF表[#Headers],0))&lt;&gt;""),COLUMN(_xlfn.DROP(INDEX(BUFF表[],MATCH($E29,BUFF表[名称],0),),,MATCH("描述",BUFF表[#Headers],0)))*(_xlfn.DROP(INDEX(BUFF表[],MATCH($E29,BUFF表[名称],0),),,MATCH("描述",BUFF表[#Headers],0))&lt;&gt;"")&lt;&gt;0),ROUNDUP(COLUMNS($G29:G29)/2,0))),"")</f>
        <v>背水</v>
      </c>
      <c r="H29" s="103" cm="1">
        <f t="array" ref="H29">IFERROR(ROUND(IFERROR(1/VLOOKUP($E29,BUFF表[],MATCH("a",BUFF表[#Headers],0),0)*(1+1/VLOOKUP($E29,BUFF表[],MATCH("b",BUFF表[#Headers],0),0)*(IF($F29="",VLOOKUP($E29,BUFF表[],MATCH("dx",BUFF表[#Headers],0),0),$F29)-VLOOKUP($E29,BUFF表[],MATCH("lx",BUFF表[#Headers],0),0))),1)*INDEX(INDEX(BUFF表[],MATCH($E29,BUFF表[名称],0),),SMALL(_xlfn._xlws.FILTER(COLUMN(_xlfn.DROP(INDEX(BUFF表[],MATCH($E29,BUFF表[名称],0),),,MATCH("描述",BUFF表[#Headers],0)))*(_xlfn.DROP(INDEX(BUFF表[],MATCH($E29,BUFF表[名称],0),),,MATCH("描述",BUFF表[#Headers],0))&lt;&gt;""),COLUMN(_xlfn.DROP(INDEX(BUFF表[],MATCH($E29,BUFF表[名称],0),),,MATCH("描述",BUFF表[#Headers],0)))*(_xlfn.DROP(INDEX(BUFF表[],MATCH($E29,BUFF表[名称],0),),,MATCH("描述",BUFF表[#Headers],0))&lt;&gt;"")&lt;&gt;0),ROUNDUP(COLUMNS($G29:G29)/2,0))),3),"")</f>
        <v>0.099</v>
      </c>
      <c r="I29" s="102" t="str" cm="1">
        <f t="array" ref="I29">IFERROR(INDEX(BUFF表[#Headers],SMALL(_xlfn._xlws.FILTER(COLUMN(_xlfn.DROP(INDEX(BUFF表[],MATCH($E29,BUFF表[名称],0),),,MATCH("描述",BUFF表[#Headers],0)))*(_xlfn.DROP(INDEX(BUFF表[],MATCH($E29,BUFF表[名称],0),),,MATCH("描述",BUFF表[#Headers],0))&lt;&gt;""),COLUMN(_xlfn.DROP(INDEX(BUFF表[],MATCH($E29,BUFF表[名称],0),),,MATCH("描述",BUFF表[#Headers],0)))*(_xlfn.DROP(INDEX(BUFF表[],MATCH($E29,BUFF表[名称],0),),,MATCH("描述",BUFF表[#Headers],0))&lt;&gt;"")&lt;&gt;0),ROUNDUP(COLUMNS($G29:I29)/2,0))),"")</f>
        <v/>
      </c>
      <c r="J29" s="103" t="str" cm="1">
        <f t="array" ref="J29">IFERROR(ROUND(IFERROR(1/VLOOKUP($E29,BUFF表[],MATCH("a",BUFF表[#Headers],0),0)*(1+1/VLOOKUP($E29,BUFF表[],MATCH("b",BUFF表[#Headers],0),0)*(IF($F29="",VLOOKUP($E29,BUFF表[],MATCH("dx",BUFF表[#Headers],0),0),$F29)-VLOOKUP($E29,BUFF表[],MATCH("lx",BUFF表[#Headers],0),0))),1)*INDEX(INDEX(BUFF表[],MATCH($E29,BUFF表[名称],0),),SMALL(_xlfn._xlws.FILTER(COLUMN(_xlfn.DROP(INDEX(BUFF表[],MATCH($E29,BUFF表[名称],0),),,MATCH("描述",BUFF表[#Headers],0)))*(_xlfn.DROP(INDEX(BUFF表[],MATCH($E29,BUFF表[名称],0),),,MATCH("描述",BUFF表[#Headers],0))&lt;&gt;""),COLUMN(_xlfn.DROP(INDEX(BUFF表[],MATCH($E29,BUFF表[名称],0),),,MATCH("描述",BUFF表[#Headers],0)))*(_xlfn.DROP(INDEX(BUFF表[],MATCH($E29,BUFF表[名称],0),),,MATCH("描述",BUFF表[#Headers],0))&lt;&gt;"")&lt;&gt;0),ROUNDUP(COLUMNS($G29:I29)/2,0))),3),"")</f>
        <v/>
      </c>
      <c r="K29" s="102" t="str" cm="1">
        <f t="array" ref="K29">IFERROR(INDEX(BUFF表[#Headers],SMALL(_xlfn._xlws.FILTER(COLUMN(_xlfn.DROP(INDEX(BUFF表[],MATCH($E29,BUFF表[名称],0),),,MATCH("描述",BUFF表[#Headers],0)))*(_xlfn.DROP(INDEX(BUFF表[],MATCH($E29,BUFF表[名称],0),),,MATCH("描述",BUFF表[#Headers],0))&lt;&gt;""),COLUMN(_xlfn.DROP(INDEX(BUFF表[],MATCH($E29,BUFF表[名称],0),),,MATCH("描述",BUFF表[#Headers],0)))*(_xlfn.DROP(INDEX(BUFF表[],MATCH($E29,BUFF表[名称],0),),,MATCH("描述",BUFF表[#Headers],0))&lt;&gt;"")&lt;&gt;0),ROUNDUP(COLUMNS($G29:K29)/2,0))),"")</f>
        <v/>
      </c>
      <c r="L29" s="103" t="str" cm="1">
        <f t="array" ref="L29">IFERROR(ROUND(IFERROR(1/VLOOKUP($E29,BUFF表[],MATCH("a",BUFF表[#Headers],0),0)*(1+1/VLOOKUP($E29,BUFF表[],MATCH("b",BUFF表[#Headers],0),0)*(IF($F29="",VLOOKUP($E29,BUFF表[],MATCH("dx",BUFF表[#Headers],0),0),$F29)-VLOOKUP($E29,BUFF表[],MATCH("lx",BUFF表[#Headers],0),0))),1)*INDEX(INDEX(BUFF表[],MATCH($E29,BUFF表[名称],0),),SMALL(_xlfn._xlws.FILTER(COLUMN(_xlfn.DROP(INDEX(BUFF表[],MATCH($E29,BUFF表[名称],0),),,MATCH("描述",BUFF表[#Headers],0)))*(_xlfn.DROP(INDEX(BUFF表[],MATCH($E29,BUFF表[名称],0),),,MATCH("描述",BUFF表[#Headers],0))&lt;&gt;""),COLUMN(_xlfn.DROP(INDEX(BUFF表[],MATCH($E29,BUFF表[名称],0),),,MATCH("描述",BUFF表[#Headers],0)))*(_xlfn.DROP(INDEX(BUFF表[],MATCH($E29,BUFF表[名称],0),),,MATCH("描述",BUFF表[#Headers],0))&lt;&gt;"")&lt;&gt;0),ROUNDUP(COLUMNS($G29:K29)/2,0))),3),"")</f>
        <v/>
      </c>
      <c r="M29" s="102" t="str" cm="1">
        <f t="array" ref="M29">IFERROR(INDEX(BUFF表[#Headers],SMALL(_xlfn._xlws.FILTER(COLUMN(_xlfn.DROP(INDEX(BUFF表[],MATCH($E29,BUFF表[名称],0),),,MATCH("描述",BUFF表[#Headers],0)))*(_xlfn.DROP(INDEX(BUFF表[],MATCH($E29,BUFF表[名称],0),),,MATCH("描述",BUFF表[#Headers],0))&lt;&gt;""),COLUMN(_xlfn.DROP(INDEX(BUFF表[],MATCH($E29,BUFF表[名称],0),),,MATCH("描述",BUFF表[#Headers],0)))*(_xlfn.DROP(INDEX(BUFF表[],MATCH($E29,BUFF表[名称],0),),,MATCH("描述",BUFF表[#Headers],0))&lt;&gt;"")&lt;&gt;0),ROUNDUP(COLUMNS($G29:M29)/2,0))),"")</f>
        <v/>
      </c>
      <c r="N29" s="103" t="str" cm="1">
        <f t="array" ref="N29">IFERROR(ROUND(IFERROR(1/VLOOKUP($E29,BUFF表[],MATCH("a",BUFF表[#Headers],0),0)*(1+1/VLOOKUP($E29,BUFF表[],MATCH("b",BUFF表[#Headers],0),0)*(IF($F29="",VLOOKUP($E29,BUFF表[],MATCH("dx",BUFF表[#Headers],0),0),$F29)-VLOOKUP($E29,BUFF表[],MATCH("lx",BUFF表[#Headers],0),0))),1)*INDEX(INDEX(BUFF表[],MATCH($E29,BUFF表[名称],0),),SMALL(_xlfn._xlws.FILTER(COLUMN(_xlfn.DROP(INDEX(BUFF表[],MATCH($E29,BUFF表[名称],0),),,MATCH("描述",BUFF表[#Headers],0)))*(_xlfn.DROP(INDEX(BUFF表[],MATCH($E29,BUFF表[名称],0),),,MATCH("描述",BUFF表[#Headers],0))&lt;&gt;""),COLUMN(_xlfn.DROP(INDEX(BUFF表[],MATCH($E29,BUFF表[名称],0),),,MATCH("描述",BUFF表[#Headers],0)))*(_xlfn.DROP(INDEX(BUFF表[],MATCH($E29,BUFF表[名称],0),),,MATCH("描述",BUFF表[#Headers],0))&lt;&gt;"")&lt;&gt;0),ROUNDUP(COLUMNS($G29:M29)/2,0))),3),"")</f>
        <v/>
      </c>
      <c r="O29" s="100" t="str">
        <f>IFERROR(VLOOKUP(E29,BUFF表[],MATCH("描述",BUFF表[#Headers],0),0),"")</f>
        <v>风属性角色远程武器触发额外效果时，为附近队友附加背水提高9.9%，持续10.0秒。</v>
      </c>
      <c r="P29" s="111"/>
      <c r="Q29" s="111"/>
      <c r="R29" s="111"/>
      <c r="S29" s="101"/>
      <c r="T29" s="20" cm="1">
        <f t="array" ref="T29">X29*SUM(B$24*U29,B$26*V29,B$25*W29,B$27)*昂扬背水乘区(AB29,AC29)*SUM(1,AD29,AE29)*(1-敌方抗性+AF29)*(1+AG29)/IF($A$39="DPMP",ROUNDUP($B$30*(2-Z29),0),1)/IF($A$39="DPSMP",ROUNDUP($B$31*MAX(0.25,(2-Z29)/Y29),0),1)*防御乘区(AH29)</f>
        <v>803798.987450882</v>
      </c>
      <c r="U29" s="20" cm="1">
        <f t="array" ref="U29">删BUFF取角色属性(U$18,ROWS($E$19:$E29))*(1+删BUFF取角色属性("属性伤",ROWS($E$19:$E29)))</f>
        <v>6096.68763763837</v>
      </c>
      <c r="V29" s="20" cm="1">
        <f t="array" ref="V29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29)),BUFF表[],MATCH("MOD属性",BUFF表[#Headers],0),0),0)),1)))*VLOOKUP(角色MOD,角色MOD表[],MATCH(V$18,角色MOD表[#Headers],0),0),0),IFERROR(VLOOKUP(_xlfn._xlws.FILTER(BUFF,_xlfn.SEQUENCE(ROWS(BUFF))&lt;&gt;ROWS($E$19:$E29)),BUFF表[],MATCH(V$18,BUFF表[#Headers],0),0),0))</f>
        <v>3388.65048</v>
      </c>
      <c r="W29" s="20" cm="1">
        <f t="array" ref="W29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29)),BUFF表[],MATCH("MOD属性",BUFF表[#Headers],0),0),0)),1)))*VLOOKUP(角色MOD,角色MOD表[],MATCH(W$18,角色MOD表[#Headers],0),0),0),IFERROR(VLOOKUP(_xlfn._xlws.FILTER(BUFF,_xlfn.SEQUENCE(ROWS(BUFF))&lt;&gt;ROWS($E$19:$E29)),BUFF表[],MATCH(W$18,BUFF表[#Headers],0),0),0))</f>
        <v>971.49024</v>
      </c>
      <c r="X29" s="23" cm="1">
        <f t="array" ref="X29">删BUFF取角色属性(X$18,ROWS($E$19:$E29))</f>
        <v>8.01554</v>
      </c>
      <c r="Y29" s="23" cm="1">
        <f t="array" ref="Y29">删BUFF取角色属性(Y$18,ROWS($E$19:$E29))</f>
        <v>1.2</v>
      </c>
      <c r="Z29" s="23" cm="1">
        <f t="array" ref="Z29">删BUFF取角色属性(Z$18,ROWS($E$19:$E29))</f>
        <v>0</v>
      </c>
      <c r="AA29" s="23" cm="1">
        <f t="array" ref="AA29">删BUFF取角色属性(AA$18,ROWS($E$19:$E29))</f>
        <v>1.33594</v>
      </c>
      <c r="AB29" s="23" cm="1">
        <f t="array" ref="AB29">删BUFF取角色属性(AB$18,ROWS($E$19:$E29))</f>
        <v>0</v>
      </c>
      <c r="AC29" s="23" cm="1">
        <f t="array" ref="AC29">删BUFF取角色属性(AC$18,ROWS($E$19:$E29))</f>
        <v>0.73108</v>
      </c>
      <c r="AD29" s="23" cm="1">
        <f t="array" ref="AD29">删BUFF取角色属性(AD$18,ROWS($E$19:$E29))</f>
        <v>2.25</v>
      </c>
      <c r="AE29" s="23" cm="1">
        <f t="array" ref="AE29">删BUFF取角色属性(AE$18,ROWS($E$19:$E29))</f>
        <v>0</v>
      </c>
      <c r="AF29" s="23" cm="1">
        <f t="array" ref="AF29">删BUFF取角色属性(AF$18,ROWS($E$19:$E29))</f>
        <v>0.24</v>
      </c>
      <c r="AG29" s="23" cm="1">
        <f t="array" ref="AG29">删BUFF取角色属性(AG$18,ROWS($E$19:$E29))</f>
        <v>0</v>
      </c>
      <c r="AH29" s="23" cm="1">
        <f t="array" ref="AH29">删BUFF取角色属性(AH$18,ROWS($E$19:$E29))</f>
        <v>0</v>
      </c>
      <c r="AV29" t="str">
        <v>不息</v>
      </c>
      <c r="AW29" t="str">
        <v>时运</v>
      </c>
      <c r="AX29" t="str">
        <v>威压</v>
      </c>
    </row>
    <row r="30" spans="1:50">
      <c r="A30" s="68" t="s">
        <v>112</v>
      </c>
      <c r="B30" s="88" cm="1">
        <f t="array" ref="B30">IFERROR(_xlfn.MAP(INDEX(技能表[],MATCH(1,(技能表[名称]=B$23)*(技能表[等级]=1),0),MATCH(A30,技能表[#Headers],0)),INDEX(技能表[],MATCH(1,(技能表[名称]=B$23)*(技能表[等级]=10),0),MATCH(A30,技能表[#Headers],0)),_xlfn.LAMBDA(_xlpm.a,_xlpm.b,_xlpm.a*(1+(_xlpm.b/_xlpm.a-1)/9*(C$23-1)))),0)</f>
        <v>30</v>
      </c>
      <c r="C30" s="88">
        <f>ROUNDUP(B30*(2-C14),0)</f>
        <v>60</v>
      </c>
      <c r="D30" s="76">
        <f t="shared" si="1"/>
        <v>0</v>
      </c>
      <c r="E30" s="69" t="s">
        <v>113</v>
      </c>
      <c r="F30" s="69"/>
      <c r="G30" s="102" t="str" cm="1">
        <f t="array" ref="G30">IFERROR(INDEX(BUFF表[#Headers],SMALL(_xlfn._xlws.FILTER(COLUMN(_xlfn.DROP(INDEX(BUFF表[],MATCH($E30,BUFF表[名称],0),),,MATCH("描述",BUFF表[#Headers],0)))*(_xlfn.DROP(INDEX(BUFF表[],MATCH($E30,BUFF表[名称],0),),,MATCH("描述",BUFF表[#Headers],0))&lt;&gt;""),COLUMN(_xlfn.DROP(INDEX(BUFF表[],MATCH($E30,BUFF表[名称],0),),,MATCH("描述",BUFF表[#Headers],0)))*(_xlfn.DROP(INDEX(BUFF表[],MATCH($E30,BUFF表[名称],0),),,MATCH("描述",BUFF表[#Headers],0))&lt;&gt;"")&lt;&gt;0),ROUNDUP(COLUMNS($G30:G30)/2,0))),"")</f>
        <v>失衡易伤</v>
      </c>
      <c r="H30" s="103" cm="1">
        <f t="array" ref="H30">IFERROR(ROUND(IFERROR(1/VLOOKUP($E30,BUFF表[],MATCH("a",BUFF表[#Headers],0),0)*(1+1/VLOOKUP($E30,BUFF表[],MATCH("b",BUFF表[#Headers],0),0)*(IF($F30="",VLOOKUP($E30,BUFF表[],MATCH("dx",BUFF表[#Headers],0),0),$F30)-VLOOKUP($E30,BUFF表[],MATCH("lx",BUFF表[#Headers],0),0))),1)*INDEX(INDEX(BUFF表[],MATCH($E30,BUFF表[名称],0),),SMALL(_xlfn._xlws.FILTER(COLUMN(_xlfn.DROP(INDEX(BUFF表[],MATCH($E30,BUFF表[名称],0),),,MATCH("描述",BUFF表[#Headers],0)))*(_xlfn.DROP(INDEX(BUFF表[],MATCH($E30,BUFF表[名称],0),),,MATCH("描述",BUFF表[#Headers],0))&lt;&gt;""),COLUMN(_xlfn.DROP(INDEX(BUFF表[],MATCH($E30,BUFF表[名称],0),),,MATCH("描述",BUFF表[#Headers],0)))*(_xlfn.DROP(INDEX(BUFF表[],MATCH($E30,BUFF表[名称],0),),,MATCH("描述",BUFF表[#Headers],0))&lt;&gt;"")&lt;&gt;0),ROUNDUP(COLUMNS($G30:G30)/2,0))),3),"")</f>
        <v>0.44</v>
      </c>
      <c r="I30" s="102" t="str" cm="1">
        <f t="array" ref="I30">IFERROR(INDEX(BUFF表[#Headers],SMALL(_xlfn._xlws.FILTER(COLUMN(_xlfn.DROP(INDEX(BUFF表[],MATCH($E30,BUFF表[名称],0),),,MATCH("描述",BUFF表[#Headers],0)))*(_xlfn.DROP(INDEX(BUFF表[],MATCH($E30,BUFF表[名称],0),),,MATCH("描述",BUFF表[#Headers],0))&lt;&gt;""),COLUMN(_xlfn.DROP(INDEX(BUFF表[],MATCH($E30,BUFF表[名称],0),),,MATCH("描述",BUFF表[#Headers],0)))*(_xlfn.DROP(INDEX(BUFF表[],MATCH($E30,BUFF表[名称],0),),,MATCH("描述",BUFF表[#Headers],0))&lt;&gt;"")&lt;&gt;0),ROUNDUP(COLUMNS($G30:I30)/2,0))),"")</f>
        <v/>
      </c>
      <c r="J30" s="103" t="str" cm="1">
        <f t="array" ref="J30">IFERROR(ROUND(IFERROR(1/VLOOKUP($E30,BUFF表[],MATCH("a",BUFF表[#Headers],0),0)*(1+1/VLOOKUP($E30,BUFF表[],MATCH("b",BUFF表[#Headers],0),0)*(IF($F30="",VLOOKUP($E30,BUFF表[],MATCH("dx",BUFF表[#Headers],0),0),$F30)-VLOOKUP($E30,BUFF表[],MATCH("lx",BUFF表[#Headers],0),0))),1)*INDEX(INDEX(BUFF表[],MATCH($E30,BUFF表[名称],0),),SMALL(_xlfn._xlws.FILTER(COLUMN(_xlfn.DROP(INDEX(BUFF表[],MATCH($E30,BUFF表[名称],0),),,MATCH("描述",BUFF表[#Headers],0)))*(_xlfn.DROP(INDEX(BUFF表[],MATCH($E30,BUFF表[名称],0),),,MATCH("描述",BUFF表[#Headers],0))&lt;&gt;""),COLUMN(_xlfn.DROP(INDEX(BUFF表[],MATCH($E30,BUFF表[名称],0),),,MATCH("描述",BUFF表[#Headers],0)))*(_xlfn.DROP(INDEX(BUFF表[],MATCH($E30,BUFF表[名称],0),),,MATCH("描述",BUFF表[#Headers],0))&lt;&gt;"")&lt;&gt;0),ROUNDUP(COLUMNS($G30:I30)/2,0))),3),"")</f>
        <v/>
      </c>
      <c r="K30" s="102" t="str" cm="1">
        <f t="array" ref="K30">IFERROR(INDEX(BUFF表[#Headers],SMALL(_xlfn._xlws.FILTER(COLUMN(_xlfn.DROP(INDEX(BUFF表[],MATCH($E30,BUFF表[名称],0),),,MATCH("描述",BUFF表[#Headers],0)))*(_xlfn.DROP(INDEX(BUFF表[],MATCH($E30,BUFF表[名称],0),),,MATCH("描述",BUFF表[#Headers],0))&lt;&gt;""),COLUMN(_xlfn.DROP(INDEX(BUFF表[],MATCH($E30,BUFF表[名称],0),),,MATCH("描述",BUFF表[#Headers],0)))*(_xlfn.DROP(INDEX(BUFF表[],MATCH($E30,BUFF表[名称],0),),,MATCH("描述",BUFF表[#Headers],0))&lt;&gt;"")&lt;&gt;0),ROUNDUP(COLUMNS($G30:K30)/2,0))),"")</f>
        <v/>
      </c>
      <c r="L30" s="103" t="str" cm="1">
        <f t="array" ref="L30">IFERROR(ROUND(IFERROR(1/VLOOKUP($E30,BUFF表[],MATCH("a",BUFF表[#Headers],0),0)*(1+1/VLOOKUP($E30,BUFF表[],MATCH("b",BUFF表[#Headers],0),0)*(IF($F30="",VLOOKUP($E30,BUFF表[],MATCH("dx",BUFF表[#Headers],0),0),$F30)-VLOOKUP($E30,BUFF表[],MATCH("lx",BUFF表[#Headers],0),0))),1)*INDEX(INDEX(BUFF表[],MATCH($E30,BUFF表[名称],0),),SMALL(_xlfn._xlws.FILTER(COLUMN(_xlfn.DROP(INDEX(BUFF表[],MATCH($E30,BUFF表[名称],0),),,MATCH("描述",BUFF表[#Headers],0)))*(_xlfn.DROP(INDEX(BUFF表[],MATCH($E30,BUFF表[名称],0),),,MATCH("描述",BUFF表[#Headers],0))&lt;&gt;""),COLUMN(_xlfn.DROP(INDEX(BUFF表[],MATCH($E30,BUFF表[名称],0),),,MATCH("描述",BUFF表[#Headers],0)))*(_xlfn.DROP(INDEX(BUFF表[],MATCH($E30,BUFF表[名称],0),),,MATCH("描述",BUFF表[#Headers],0))&lt;&gt;"")&lt;&gt;0),ROUNDUP(COLUMNS($G30:K30)/2,0))),3),"")</f>
        <v/>
      </c>
      <c r="M30" s="102" t="str" cm="1">
        <f t="array" ref="M30">IFERROR(INDEX(BUFF表[#Headers],SMALL(_xlfn._xlws.FILTER(COLUMN(_xlfn.DROP(INDEX(BUFF表[],MATCH($E30,BUFF表[名称],0),),,MATCH("描述",BUFF表[#Headers],0)))*(_xlfn.DROP(INDEX(BUFF表[],MATCH($E30,BUFF表[名称],0),),,MATCH("描述",BUFF表[#Headers],0))&lt;&gt;""),COLUMN(_xlfn.DROP(INDEX(BUFF表[],MATCH($E30,BUFF表[名称],0),),,MATCH("描述",BUFF表[#Headers],0)))*(_xlfn.DROP(INDEX(BUFF表[],MATCH($E30,BUFF表[名称],0),),,MATCH("描述",BUFF表[#Headers],0))&lt;&gt;"")&lt;&gt;0),ROUNDUP(COLUMNS($G30:M30)/2,0))),"")</f>
        <v/>
      </c>
      <c r="N30" s="103" t="str" cm="1">
        <f t="array" ref="N30">IFERROR(ROUND(IFERROR(1/VLOOKUP($E30,BUFF表[],MATCH("a",BUFF表[#Headers],0),0)*(1+1/VLOOKUP($E30,BUFF表[],MATCH("b",BUFF表[#Headers],0),0)*(IF($F30="",VLOOKUP($E30,BUFF表[],MATCH("dx",BUFF表[#Headers],0),0),$F30)-VLOOKUP($E30,BUFF表[],MATCH("lx",BUFF表[#Headers],0),0))),1)*INDEX(INDEX(BUFF表[],MATCH($E30,BUFF表[名称],0),),SMALL(_xlfn._xlws.FILTER(COLUMN(_xlfn.DROP(INDEX(BUFF表[],MATCH($E30,BUFF表[名称],0),),,MATCH("描述",BUFF表[#Headers],0)))*(_xlfn.DROP(INDEX(BUFF表[],MATCH($E30,BUFF表[名称],0),),,MATCH("描述",BUFF表[#Headers],0))&lt;&gt;""),COLUMN(_xlfn.DROP(INDEX(BUFF表[],MATCH($E30,BUFF表[名称],0),),,MATCH("描述",BUFF表[#Headers],0)))*(_xlfn.DROP(INDEX(BUFF表[],MATCH($E30,BUFF表[名称],0),),,MATCH("描述",BUFF表[#Headers],0))&lt;&gt;"")&lt;&gt;0),ROUNDUP(COLUMNS($G30:M30)/2,0))),3),"")</f>
        <v/>
      </c>
      <c r="O30" s="100" t="str">
        <f>IFERROR(VLOOKUP(E30,BUFF表[],MATCH("描述",BUFF表[#Headers],0),0),"")</f>
        <v>处于战姿失衡状态受到的伤害提高效果量提高44.0%</v>
      </c>
      <c r="P30" s="111"/>
      <c r="Q30" s="111"/>
      <c r="R30" s="111"/>
      <c r="S30" s="101"/>
      <c r="T30" s="20" cm="1">
        <f t="array" ref="T30">X30*SUM(B$24*U30,B$26*V30,B$25*W30,B$27)*昂扬背水乘区(AB30,AC30)*SUM(1,AD30,AE30)*(1-敌方抗性+AF30)*(1+AG30)/IF($A$39="DPMP",ROUNDUP($B$30*(2-Z30),0),1)/IF($A$39="DPSMP",ROUNDUP($B$31*MAX(0.25,(2-Z30)/Y30),0),1)*防御乘区(AH30)</f>
        <v>883554.803647683</v>
      </c>
      <c r="U30" s="20" cm="1">
        <f t="array" ref="U30">删BUFF取角色属性(U$18,ROWS($E$19:$E30))*(1+删BUFF取角色属性("属性伤",ROWS($E$19:$E30)))</f>
        <v>6096.68763763837</v>
      </c>
      <c r="V30" s="20" cm="1">
        <f t="array" ref="V30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30)),BUFF表[],MATCH("MOD属性",BUFF表[#Headers],0),0),0)),1)))*VLOOKUP(角色MOD,角色MOD表[],MATCH(V$18,角色MOD表[#Headers],0),0),0),IFERROR(VLOOKUP(_xlfn._xlws.FILTER(BUFF,_xlfn.SEQUENCE(ROWS(BUFF))&lt;&gt;ROWS($E$19:$E30)),BUFF表[],MATCH(V$18,BUFF表[#Headers],0),0),0))</f>
        <v>3388.65048</v>
      </c>
      <c r="W30" s="20" cm="1">
        <f t="array" ref="W30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30)),BUFF表[],MATCH("MOD属性",BUFF表[#Headers],0),0),0)),1)))*VLOOKUP(角色MOD,角色MOD表[],MATCH(W$18,角色MOD表[#Headers],0),0),0),IFERROR(VLOOKUP(_xlfn._xlws.FILTER(BUFF,_xlfn.SEQUENCE(ROWS(BUFF))&lt;&gt;ROWS($E$19:$E30)),BUFF表[],MATCH(W$18,BUFF表[#Headers],0),0),0))</f>
        <v>971.49024</v>
      </c>
      <c r="X30" s="23" cm="1">
        <f t="array" ref="X30">删BUFF取角色属性(X$18,ROWS($E$19:$E30))</f>
        <v>8.01554</v>
      </c>
      <c r="Y30" s="23" cm="1">
        <f t="array" ref="Y30">删BUFF取角色属性(Y$18,ROWS($E$19:$E30))</f>
        <v>1.2</v>
      </c>
      <c r="Z30" s="23" cm="1">
        <f t="array" ref="Z30">删BUFF取角色属性(Z$18,ROWS($E$19:$E30))</f>
        <v>0</v>
      </c>
      <c r="AA30" s="23" cm="1">
        <f t="array" ref="AA30">删BUFF取角色属性(AA$18,ROWS($E$19:$E30))</f>
        <v>1.33594</v>
      </c>
      <c r="AB30" s="23" cm="1">
        <f t="array" ref="AB30">删BUFF取角色属性(AB$18,ROWS($E$19:$E30))</f>
        <v>0</v>
      </c>
      <c r="AC30" s="23" cm="1">
        <f t="array" ref="AC30">删BUFF取角色属性(AC$18,ROWS($E$19:$E30))</f>
        <v>0.83008</v>
      </c>
      <c r="AD30" s="23" cm="1">
        <f t="array" ref="AD30">删BUFF取角色属性(AD$18,ROWS($E$19:$E30))</f>
        <v>2.25</v>
      </c>
      <c r="AE30" s="23" cm="1">
        <f t="array" ref="AE30">删BUFF取角色属性(AE$18,ROWS($E$19:$E30))</f>
        <v>0</v>
      </c>
      <c r="AF30" s="23" cm="1">
        <f t="array" ref="AF30">删BUFF取角色属性(AF$18,ROWS($E$19:$E30))</f>
        <v>0.24</v>
      </c>
      <c r="AG30" s="23" cm="1">
        <f t="array" ref="AG30">删BUFF取角色属性(AG$18,ROWS($E$19:$E30))</f>
        <v>0</v>
      </c>
      <c r="AH30" s="23" cm="1">
        <f t="array" ref="AH30">删BUFF取角色属性(AH$18,ROWS($E$19:$E30))</f>
        <v>0</v>
      </c>
      <c r="AV30" t="str">
        <v>锋芒单手剑</v>
      </c>
      <c r="AW30" t="str">
        <v>锋锐·缠缚</v>
      </c>
      <c r="AX30" t="str">
        <v>无患</v>
      </c>
    </row>
    <row r="31" spans="1:50">
      <c r="A31" s="68" t="s">
        <v>114</v>
      </c>
      <c r="B31" s="89" cm="1">
        <f t="array" ref="B31">IFERROR(_xlfn.MAP(INDEX(技能表[],MATCH(1,(技能表[名称]=B$23)*(技能表[等级]=1),0),MATCH(A31,技能表[#Headers],0)),INDEX(技能表[],MATCH(1,(技能表[名称]=B$23)*(技能表[等级]=10),0),MATCH(A31,技能表[#Headers],0)),_xlfn.LAMBDA(_xlpm.a,_xlpm.b,_xlpm.a*(1+(_xlpm.b/_xlpm.a-1)/9*(C$23-1)))),0)</f>
        <v>0</v>
      </c>
      <c r="C31" s="89">
        <f>ROUNDUP(B31*MAX(0.25,(2-C14)/C13),0)</f>
        <v>0</v>
      </c>
      <c r="D31" s="76">
        <f t="shared" si="1"/>
        <v>0.185291959472983</v>
      </c>
      <c r="E31" s="69" t="s">
        <v>115</v>
      </c>
      <c r="F31" s="69">
        <v>3</v>
      </c>
      <c r="G31" s="102" t="str" cm="1">
        <f t="array" ref="G31">IFERROR(INDEX(BUFF表[#Headers],SMALL(_xlfn._xlws.FILTER(COLUMN(_xlfn.DROP(INDEX(BUFF表[],MATCH($E31,BUFF表[名称],0),),,MATCH("描述",BUFF表[#Headers],0)))*(_xlfn.DROP(INDEX(BUFF表[],MATCH($E31,BUFF表[名称],0),),,MATCH("描述",BUFF表[#Headers],0))&lt;&gt;""),COLUMN(_xlfn.DROP(INDEX(BUFF表[],MATCH($E31,BUFF表[名称],0),),,MATCH("描述",BUFF表[#Headers],0)))*(_xlfn.DROP(INDEX(BUFF表[],MATCH($E31,BUFF表[名称],0),),,MATCH("描述",BUFF表[#Headers],0))&lt;&gt;"")&lt;&gt;0),ROUNDUP(COLUMNS($G31:G31)/2,0))),"")</f>
        <v>背水</v>
      </c>
      <c r="H31" s="103" cm="1">
        <f t="array" ref="H31">IFERROR(ROUND(IFERROR(1/VLOOKUP($E31,BUFF表[],MATCH("a",BUFF表[#Headers],0),0)*(1+1/VLOOKUP($E31,BUFF表[],MATCH("b",BUFF表[#Headers],0),0)*(IF($F31="",VLOOKUP($E31,BUFF表[],MATCH("dx",BUFF表[#Headers],0),0),$F31)-VLOOKUP($E31,BUFF表[],MATCH("lx",BUFF表[#Headers],0),0))),1)*INDEX(INDEX(BUFF表[],MATCH($E31,BUFF表[名称],0),),SMALL(_xlfn._xlws.FILTER(COLUMN(_xlfn.DROP(INDEX(BUFF表[],MATCH($E31,BUFF表[名称],0),),,MATCH("描述",BUFF表[#Headers],0)))*(_xlfn.DROP(INDEX(BUFF表[],MATCH($E31,BUFF表[名称],0),),,MATCH("描述",BUFF表[#Headers],0))&lt;&gt;""),COLUMN(_xlfn.DROP(INDEX(BUFF表[],MATCH($E31,BUFF表[名称],0),),,MATCH("描述",BUFF表[#Headers],0)))*(_xlfn.DROP(INDEX(BUFF表[],MATCH($E31,BUFF表[名称],0),),,MATCH("描述",BUFF表[#Headers],0))&lt;&gt;"")&lt;&gt;0),ROUNDUP(COLUMNS($G31:G31)/2,0))),3),"")</f>
        <v>0.12</v>
      </c>
      <c r="I31" s="102" t="str" cm="1">
        <f t="array" ref="I31">IFERROR(INDEX(BUFF表[#Headers],SMALL(_xlfn._xlws.FILTER(COLUMN(_xlfn.DROP(INDEX(BUFF表[],MATCH($E31,BUFF表[名称],0),),,MATCH("描述",BUFF表[#Headers],0)))*(_xlfn.DROP(INDEX(BUFF表[],MATCH($E31,BUFF表[名称],0),),,MATCH("描述",BUFF表[#Headers],0))&lt;&gt;""),COLUMN(_xlfn.DROP(INDEX(BUFF表[],MATCH($E31,BUFF表[名称],0),),,MATCH("描述",BUFF表[#Headers],0)))*(_xlfn.DROP(INDEX(BUFF表[],MATCH($E31,BUFF表[名称],0),),,MATCH("描述",BUFF表[#Headers],0))&lt;&gt;"")&lt;&gt;0),ROUNDUP(COLUMNS($G31:I31)/2,0))),"")</f>
        <v>属性伤</v>
      </c>
      <c r="J31" s="103" cm="1">
        <f t="array" ref="J31">IFERROR(ROUND(IFERROR(1/VLOOKUP($E31,BUFF表[],MATCH("a",BUFF表[#Headers],0),0)*(1+1/VLOOKUP($E31,BUFF表[],MATCH("b",BUFF表[#Headers],0),0)*(IF($F31="",VLOOKUP($E31,BUFF表[],MATCH("dx",BUFF表[#Headers],0),0),$F31)-VLOOKUP($E31,BUFF表[],MATCH("lx",BUFF表[#Headers],0),0))),1)*INDEX(INDEX(BUFF表[],MATCH($E31,BUFF表[名称],0),),SMALL(_xlfn._xlws.FILTER(COLUMN(_xlfn.DROP(INDEX(BUFF表[],MATCH($E31,BUFF表[名称],0),),,MATCH("描述",BUFF表[#Headers],0)))*(_xlfn.DROP(INDEX(BUFF表[],MATCH($E31,BUFF表[名称],0),),,MATCH("描述",BUFF表[#Headers],0))&lt;&gt;""),COLUMN(_xlfn.DROP(INDEX(BUFF表[],MATCH($E31,BUFF表[名称],0),),,MATCH("描述",BUFF表[#Headers],0)))*(_xlfn.DROP(INDEX(BUFF表[],MATCH($E31,BUFF表[名称],0),),,MATCH("描述",BUFF表[#Headers],0))&lt;&gt;"")&lt;&gt;0),ROUNDUP(COLUMNS($G31:I31)/2,0))),3),"")</f>
        <v>0.048</v>
      </c>
      <c r="K31" s="102" t="str" cm="1">
        <f t="array" ref="K31">IFERROR(INDEX(BUFF表[#Headers],SMALL(_xlfn._xlws.FILTER(COLUMN(_xlfn.DROP(INDEX(BUFF表[],MATCH($E31,BUFF表[名称],0),),,MATCH("描述",BUFF表[#Headers],0)))*(_xlfn.DROP(INDEX(BUFF表[],MATCH($E31,BUFF表[名称],0),),,MATCH("描述",BUFF表[#Headers],0))&lt;&gt;""),COLUMN(_xlfn.DROP(INDEX(BUFF表[],MATCH($E31,BUFF表[名称],0),),,MATCH("描述",BUFF表[#Headers],0)))*(_xlfn.DROP(INDEX(BUFF表[],MATCH($E31,BUFF表[名称],0),),,MATCH("描述",BUFF表[#Headers],0))&lt;&gt;"")&lt;&gt;0),ROUNDUP(COLUMNS($G31:K31)/2,0))),"")</f>
        <v>MOD属性</v>
      </c>
      <c r="L31" s="103" cm="1">
        <f t="array" ref="L31">IFERROR(ROUND(IFERROR(1/VLOOKUP($E31,BUFF表[],MATCH("a",BUFF表[#Headers],0),0)*(1+1/VLOOKUP($E31,BUFF表[],MATCH("b",BUFF表[#Headers],0),0)*(IF($F31="",VLOOKUP($E31,BUFF表[],MATCH("dx",BUFF表[#Headers],0),0),$F31)-VLOOKUP($E31,BUFF表[],MATCH("lx",BUFF表[#Headers],0),0))),1)*INDEX(INDEX(BUFF表[],MATCH($E31,BUFF表[名称],0),),SMALL(_xlfn._xlws.FILTER(COLUMN(_xlfn.DROP(INDEX(BUFF表[],MATCH($E31,BUFF表[名称],0),),,MATCH("描述",BUFF表[#Headers],0)))*(_xlfn.DROP(INDEX(BUFF表[],MATCH($E31,BUFF表[名称],0),),,MATCH("描述",BUFF表[#Headers],0))&lt;&gt;""),COLUMN(_xlfn.DROP(INDEX(BUFF表[],MATCH($E31,BUFF表[名称],0),),,MATCH("描述",BUFF表[#Headers],0)))*(_xlfn.DROP(INDEX(BUFF表[],MATCH($E31,BUFF表[名称],0),),,MATCH("描述",BUFF表[#Headers],0))&lt;&gt;"")&lt;&gt;0),ROUNDUP(COLUMNS($G31:K31)/2,0))),3),"")</f>
        <v>0.018</v>
      </c>
      <c r="M31" s="102" t="str" cm="1">
        <f t="array" ref="M31">IFERROR(INDEX(BUFF表[#Headers],SMALL(_xlfn._xlws.FILTER(COLUMN(_xlfn.DROP(INDEX(BUFF表[],MATCH($E31,BUFF表[名称],0),),,MATCH("描述",BUFF表[#Headers],0)))*(_xlfn.DROP(INDEX(BUFF表[],MATCH($E31,BUFF表[名称],0),),,MATCH("描述",BUFF表[#Headers],0))&lt;&gt;""),COLUMN(_xlfn.DROP(INDEX(BUFF表[],MATCH($E31,BUFF表[名称],0),),,MATCH("描述",BUFF表[#Headers],0)))*(_xlfn.DROP(INDEX(BUFF表[],MATCH($E31,BUFF表[名称],0),),,MATCH("描述",BUFF表[#Headers],0))&lt;&gt;"")&lt;&gt;0),ROUNDUP(COLUMNS($G31:M31)/2,0))),"")</f>
        <v/>
      </c>
      <c r="N31" s="103" t="str" cm="1">
        <f t="array" ref="N31">IFERROR(ROUND(IFERROR(1/VLOOKUP($E31,BUFF表[],MATCH("a",BUFF表[#Headers],0),0)*(1+1/VLOOKUP($E31,BUFF表[],MATCH("b",BUFF表[#Headers],0),0)*(IF($F31="",VLOOKUP($E31,BUFF表[],MATCH("dx",BUFF表[#Headers],0),0),$F31)-VLOOKUP($E31,BUFF表[],MATCH("lx",BUFF表[#Headers],0),0))),1)*INDEX(INDEX(BUFF表[],MATCH($E31,BUFF表[名称],0),),SMALL(_xlfn._xlws.FILTER(COLUMN(_xlfn.DROP(INDEX(BUFF表[],MATCH($E31,BUFF表[名称],0),),,MATCH("描述",BUFF表[#Headers],0)))*(_xlfn.DROP(INDEX(BUFF表[],MATCH($E31,BUFF表[名称],0),),,MATCH("描述",BUFF表[#Headers],0))&lt;&gt;""),COLUMN(_xlfn.DROP(INDEX(BUFF表[],MATCH($E31,BUFF表[名称],0),),,MATCH("描述",BUFF表[#Headers],0)))*(_xlfn.DROP(INDEX(BUFF表[],MATCH($E31,BUFF表[名称],0),),,MATCH("描述",BUFF表[#Headers],0))&lt;&gt;"")&lt;&gt;0),ROUNDUP(COLUMNS($G31:M31)/2,0))),3),"")</f>
        <v/>
      </c>
      <c r="O31" s="100" t="str">
        <f>IFERROR(VLOOKUP(E31,BUFF表[],MATCH("描述",BUFF表[#Headers],0),0),"")</f>
        <v>自身及协战同伴风属性攻击+4.8%，前缀为[狮鹫][百首][契约者]的风属性魔之楔提供的属性提高1.8%。</v>
      </c>
      <c r="P31" s="111"/>
      <c r="Q31" s="111"/>
      <c r="R31" s="111"/>
      <c r="S31" s="101"/>
      <c r="T31" s="20" cm="1">
        <f t="array" ref="T31">X31*SUM(B$24*U31,B$26*V31,B$25*W31,B$27)*昂扬背水乘区(AB31,AC31)*SUM(1,AD31,AE31)*(1-敌方抗性+AF31)*(1+AG31)/IF($A$39="DPMP",ROUNDUP($B$30*(2-Z31),0),1)/IF($A$39="DPSMP",ROUNDUP($B$31*MAX(0.25,(2-Z31)/Y31),0),1)*防御乘区(AH31)</f>
        <v>745432.208989706</v>
      </c>
      <c r="U31" s="20" cm="1">
        <f t="array" ref="U31">删BUFF取角色属性(U$18,ROWS($E$19:$E31))*(1+删BUFF取角色属性("属性伤",ROWS($E$19:$E31)))</f>
        <v>5814.975992</v>
      </c>
      <c r="V31" s="20" cm="1">
        <f t="array" ref="V31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31)),BUFF表[],MATCH("MOD属性",BUFF表[#Headers],0),0),0)),1)))*VLOOKUP(角色MOD,角色MOD表[],MATCH(V$18,角色MOD表[#Headers],0),0),0),IFERROR(VLOOKUP(_xlfn._xlws.FILTER(BUFF,_xlfn.SEQUENCE(ROWS(BUFF))&lt;&gt;ROWS($E$19:$E31)),BUFF表[],MATCH(V$18,BUFF表[#Headers],0),0),0))</f>
        <v>3375.36</v>
      </c>
      <c r="W31" s="20" cm="1">
        <f t="array" ref="W31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31)),BUFF表[],MATCH("MOD属性",BUFF表[#Headers],0),0),0)),1)))*VLOOKUP(角色MOD,角色MOD表[],MATCH(W$18,角色MOD表[#Headers],0),0),0),IFERROR(VLOOKUP(_xlfn._xlws.FILTER(BUFF,_xlfn.SEQUENCE(ROWS(BUFF))&lt;&gt;ROWS($E$19:$E31)),BUFF表[],MATCH(W$18,BUFF表[#Headers],0),0),0))</f>
        <v>967.68</v>
      </c>
      <c r="X31" s="23" cm="1">
        <f t="array" ref="X31">删BUFF取角色属性(X$18,ROWS($E$19:$E31))</f>
        <v>7.97</v>
      </c>
      <c r="Y31" s="23" cm="1">
        <f t="array" ref="Y31">删BUFF取角色属性(Y$18,ROWS($E$19:$E31))</f>
        <v>1.2</v>
      </c>
      <c r="Z31" s="23" cm="1">
        <f t="array" ref="Z31">删BUFF取角色属性(Z$18,ROWS($E$19:$E31))</f>
        <v>0</v>
      </c>
      <c r="AA31" s="23" cm="1">
        <f t="array" ref="AA31">删BUFF取角色属性(AA$18,ROWS($E$19:$E31))</f>
        <v>1.33</v>
      </c>
      <c r="AB31" s="23" cm="1">
        <f t="array" ref="AB31">删BUFF取角色属性(AB$18,ROWS($E$19:$E31))</f>
        <v>0</v>
      </c>
      <c r="AC31" s="23" cm="1">
        <f t="array" ref="AC31">删BUFF取角色属性(AC$18,ROWS($E$19:$E31))</f>
        <v>0.709</v>
      </c>
      <c r="AD31" s="23" cm="1">
        <f t="array" ref="AD31">删BUFF取角色属性(AD$18,ROWS($E$19:$E31))</f>
        <v>2.25</v>
      </c>
      <c r="AE31" s="23" cm="1">
        <f t="array" ref="AE31">删BUFF取角色属性(AE$18,ROWS($E$19:$E31))</f>
        <v>0</v>
      </c>
      <c r="AF31" s="23" cm="1">
        <f t="array" ref="AF31">删BUFF取角色属性(AF$18,ROWS($E$19:$E31))</f>
        <v>0.24</v>
      </c>
      <c r="AG31" s="23" cm="1">
        <f t="array" ref="AG31">删BUFF取角色属性(AG$18,ROWS($E$19:$E31))</f>
        <v>0</v>
      </c>
      <c r="AH31" s="23" cm="1">
        <f t="array" ref="AH31">删BUFF取角色属性(AH$18,ROWS($E$19:$E31))</f>
        <v>0</v>
      </c>
      <c r="AV31" t="str">
        <v>锋芒长柄</v>
      </c>
      <c r="AW31" t="str">
        <v>攻势</v>
      </c>
      <c r="AX31" t="str">
        <v>追猎</v>
      </c>
    </row>
    <row r="32" customFormat="1" spans="1:50">
      <c r="A32" s="68" t="s">
        <v>116</v>
      </c>
      <c r="B32" s="78">
        <v>0</v>
      </c>
      <c r="C32" s="78" cm="1">
        <f t="array" ref="C32">取角色总属性(A32)</f>
        <v>0</v>
      </c>
      <c r="D32" s="76">
        <f t="shared" si="1"/>
        <v>0</v>
      </c>
      <c r="E32" s="69" t="s">
        <v>117</v>
      </c>
      <c r="F32" s="69"/>
      <c r="G32" s="102" t="str" cm="1">
        <f t="array" ref="G32">IFERROR(INDEX(BUFF表[#Headers],SMALL(_xlfn._xlws.FILTER(COLUMN(_xlfn.DROP(INDEX(BUFF表[],MATCH($E32,BUFF表[名称],0),),,MATCH("描述",BUFF表[#Headers],0)))*(_xlfn.DROP(INDEX(BUFF表[],MATCH($E32,BUFF表[名称],0),),,MATCH("描述",BUFF表[#Headers],0))&lt;&gt;""),COLUMN(_xlfn.DROP(INDEX(BUFF表[],MATCH($E32,BUFF表[名称],0),),,MATCH("描述",BUFF表[#Headers],0)))*(_xlfn.DROP(INDEX(BUFF表[],MATCH($E32,BUFF表[名称],0),),,MATCH("描述",BUFF表[#Headers],0))&lt;&gt;"")&lt;&gt;0),ROUNDUP(COLUMNS($G32:G32)/2,0))),"")</f>
        <v>神智回复</v>
      </c>
      <c r="H32" s="103" cm="1">
        <f t="array" ref="H32">IFERROR(ROUND(IFERROR(1/VLOOKUP($E32,BUFF表[],MATCH("a",BUFF表[#Headers],0),0)*(1+1/VLOOKUP($E32,BUFF表[],MATCH("b",BUFF表[#Headers],0),0)*(IF($F32="",VLOOKUP($E32,BUFF表[],MATCH("dx",BUFF表[#Headers],0),0),$F32)-VLOOKUP($E32,BUFF表[],MATCH("lx",BUFF表[#Headers],0),0))),1)*INDEX(INDEX(BUFF表[],MATCH($E32,BUFF表[名称],0),),SMALL(_xlfn._xlws.FILTER(COLUMN(_xlfn.DROP(INDEX(BUFF表[],MATCH($E32,BUFF表[名称],0),),,MATCH("描述",BUFF表[#Headers],0)))*(_xlfn.DROP(INDEX(BUFF表[],MATCH($E32,BUFF表[名称],0),),,MATCH("描述",BUFF表[#Headers],0))&lt;&gt;""),COLUMN(_xlfn.DROP(INDEX(BUFF表[],MATCH($E32,BUFF表[名称],0),),,MATCH("描述",BUFF表[#Headers],0)))*(_xlfn.DROP(INDEX(BUFF表[],MATCH($E32,BUFF表[名称],0),),,MATCH("描述",BUFF表[#Headers],0))&lt;&gt;"")&lt;&gt;0),ROUNDUP(COLUMNS($G32:G32)/2,0))),3),"")</f>
        <v>12</v>
      </c>
      <c r="I32" s="102" t="str" cm="1">
        <f t="array" ref="I32">IFERROR(INDEX(BUFF表[#Headers],SMALL(_xlfn._xlws.FILTER(COLUMN(_xlfn.DROP(INDEX(BUFF表[],MATCH($E32,BUFF表[名称],0),),,MATCH("描述",BUFF表[#Headers],0)))*(_xlfn.DROP(INDEX(BUFF表[],MATCH($E32,BUFF表[名称],0),),,MATCH("描述",BUFF表[#Headers],0))&lt;&gt;""),COLUMN(_xlfn.DROP(INDEX(BUFF表[],MATCH($E32,BUFF表[名称],0),),,MATCH("描述",BUFF表[#Headers],0)))*(_xlfn.DROP(INDEX(BUFF表[],MATCH($E32,BUFF表[名称],0),),,MATCH("描述",BUFF表[#Headers],0))&lt;&gt;"")&lt;&gt;0),ROUNDUP(COLUMNS($G32:I32)/2,0))),"")</f>
        <v/>
      </c>
      <c r="J32" s="103" t="str" cm="1">
        <f t="array" ref="J32">IFERROR(ROUND(IFERROR(1/VLOOKUP($E32,BUFF表[],MATCH("a",BUFF表[#Headers],0),0)*(1+1/VLOOKUP($E32,BUFF表[],MATCH("b",BUFF表[#Headers],0),0)*(IF($F32="",VLOOKUP($E32,BUFF表[],MATCH("dx",BUFF表[#Headers],0),0),$F32)-VLOOKUP($E32,BUFF表[],MATCH("lx",BUFF表[#Headers],0),0))),1)*INDEX(INDEX(BUFF表[],MATCH($E32,BUFF表[名称],0),),SMALL(_xlfn._xlws.FILTER(COLUMN(_xlfn.DROP(INDEX(BUFF表[],MATCH($E32,BUFF表[名称],0),),,MATCH("描述",BUFF表[#Headers],0)))*(_xlfn.DROP(INDEX(BUFF表[],MATCH($E32,BUFF表[名称],0),),,MATCH("描述",BUFF表[#Headers],0))&lt;&gt;""),COLUMN(_xlfn.DROP(INDEX(BUFF表[],MATCH($E32,BUFF表[名称],0),),,MATCH("描述",BUFF表[#Headers],0)))*(_xlfn.DROP(INDEX(BUFF表[],MATCH($E32,BUFF表[名称],0),),,MATCH("描述",BUFF表[#Headers],0))&lt;&gt;"")&lt;&gt;0),ROUNDUP(COLUMNS($G32:I32)/2,0))),3),"")</f>
        <v/>
      </c>
      <c r="K32" s="102" t="str" cm="1">
        <f t="array" ref="K32">IFERROR(INDEX(BUFF表[#Headers],SMALL(_xlfn._xlws.FILTER(COLUMN(_xlfn.DROP(INDEX(BUFF表[],MATCH($E32,BUFF表[名称],0),),,MATCH("描述",BUFF表[#Headers],0)))*(_xlfn.DROP(INDEX(BUFF表[],MATCH($E32,BUFF表[名称],0),),,MATCH("描述",BUFF表[#Headers],0))&lt;&gt;""),COLUMN(_xlfn.DROP(INDEX(BUFF表[],MATCH($E32,BUFF表[名称],0),),,MATCH("描述",BUFF表[#Headers],0)))*(_xlfn.DROP(INDEX(BUFF表[],MATCH($E32,BUFF表[名称],0),),,MATCH("描述",BUFF表[#Headers],0))&lt;&gt;"")&lt;&gt;0),ROUNDUP(COLUMNS($G32:K32)/2,0))),"")</f>
        <v/>
      </c>
      <c r="L32" s="103" t="str" cm="1">
        <f t="array" ref="L32">IFERROR(ROUND(IFERROR(1/VLOOKUP($E32,BUFF表[],MATCH("a",BUFF表[#Headers],0),0)*(1+1/VLOOKUP($E32,BUFF表[],MATCH("b",BUFF表[#Headers],0),0)*(IF($F32="",VLOOKUP($E32,BUFF表[],MATCH("dx",BUFF表[#Headers],0),0),$F32)-VLOOKUP($E32,BUFF表[],MATCH("lx",BUFF表[#Headers],0),0))),1)*INDEX(INDEX(BUFF表[],MATCH($E32,BUFF表[名称],0),),SMALL(_xlfn._xlws.FILTER(COLUMN(_xlfn.DROP(INDEX(BUFF表[],MATCH($E32,BUFF表[名称],0),),,MATCH("描述",BUFF表[#Headers],0)))*(_xlfn.DROP(INDEX(BUFF表[],MATCH($E32,BUFF表[名称],0),),,MATCH("描述",BUFF表[#Headers],0))&lt;&gt;""),COLUMN(_xlfn.DROP(INDEX(BUFF表[],MATCH($E32,BUFF表[名称],0),),,MATCH("描述",BUFF表[#Headers],0)))*(_xlfn.DROP(INDEX(BUFF表[],MATCH($E32,BUFF表[名称],0),),,MATCH("描述",BUFF表[#Headers],0))&lt;&gt;"")&lt;&gt;0),ROUNDUP(COLUMNS($G32:K32)/2,0))),3),"")</f>
        <v/>
      </c>
      <c r="M32" s="102" t="str" cm="1">
        <f t="array" ref="M32">IFERROR(INDEX(BUFF表[#Headers],SMALL(_xlfn._xlws.FILTER(COLUMN(_xlfn.DROP(INDEX(BUFF表[],MATCH($E32,BUFF表[名称],0),),,MATCH("描述",BUFF表[#Headers],0)))*(_xlfn.DROP(INDEX(BUFF表[],MATCH($E32,BUFF表[名称],0),),,MATCH("描述",BUFF表[#Headers],0))&lt;&gt;""),COLUMN(_xlfn.DROP(INDEX(BUFF表[],MATCH($E32,BUFF表[名称],0),),,MATCH("描述",BUFF表[#Headers],0)))*(_xlfn.DROP(INDEX(BUFF表[],MATCH($E32,BUFF表[名称],0),),,MATCH("描述",BUFF表[#Headers],0))&lt;&gt;"")&lt;&gt;0),ROUNDUP(COLUMNS($G32:M32)/2,0))),"")</f>
        <v/>
      </c>
      <c r="N32" s="103" t="str" cm="1">
        <f t="array" ref="N32">IFERROR(ROUND(IFERROR(1/VLOOKUP($E32,BUFF表[],MATCH("a",BUFF表[#Headers],0),0)*(1+1/VLOOKUP($E32,BUFF表[],MATCH("b",BUFF表[#Headers],0),0)*(IF($F32="",VLOOKUP($E32,BUFF表[],MATCH("dx",BUFF表[#Headers],0),0),$F32)-VLOOKUP($E32,BUFF表[],MATCH("lx",BUFF表[#Headers],0),0))),1)*INDEX(INDEX(BUFF表[],MATCH($E32,BUFF表[名称],0),),SMALL(_xlfn._xlws.FILTER(COLUMN(_xlfn.DROP(INDEX(BUFF表[],MATCH($E32,BUFF表[名称],0),),,MATCH("描述",BUFF表[#Headers],0)))*(_xlfn.DROP(INDEX(BUFF表[],MATCH($E32,BUFF表[名称],0),),,MATCH("描述",BUFF表[#Headers],0))&lt;&gt;""),COLUMN(_xlfn.DROP(INDEX(BUFF表[],MATCH($E32,BUFF表[名称],0),),,MATCH("描述",BUFF表[#Headers],0)))*(_xlfn.DROP(INDEX(BUFF表[],MATCH($E32,BUFF表[名称],0),),,MATCH("描述",BUFF表[#Headers],0))&lt;&gt;"")&lt;&gt;0),ROUNDUP(COLUMNS($G32:M32)/2,0))),3),"")</f>
        <v/>
      </c>
      <c r="O32" s="100" t="str">
        <f>IFERROR(VLOOKUP(E32,BUFF表[],MATCH("描述",BUFF表[#Headers],0),0),"")</f>
        <v>自身及队友每3秒额外回复12.0点神智</v>
      </c>
      <c r="P32" s="111"/>
      <c r="Q32" s="111"/>
      <c r="R32" s="111"/>
      <c r="S32" s="101"/>
      <c r="T32" s="20" cm="1">
        <f t="array" ref="T32">X32*SUM(B$24*U32,B$26*V32,B$25*W32,B$27)*昂扬背水乘区(AB32,AC32)*SUM(1,AD32,AE32)*(1-敌方抗性+AF32)*(1+AG32)/IF($A$39="DPMP",ROUNDUP($B$30*(2-Z32),0),1)/IF($A$39="DPSMP",ROUNDUP($B$31*MAX(0.25,(2-Z32)/Y32),0),1)*防御乘区(AH32)</f>
        <v>883554.803647683</v>
      </c>
      <c r="U32" s="20" cm="1">
        <f t="array" ref="U32">删BUFF取角色属性(U$18,ROWS($E$19:$E32))*(1+删BUFF取角色属性("属性伤",ROWS($E$19:$E32)))</f>
        <v>6096.68763763837</v>
      </c>
      <c r="V32" s="20" cm="1">
        <f t="array" ref="V32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32)),BUFF表[],MATCH("MOD属性",BUFF表[#Headers],0),0),0)),1)))*VLOOKUP(角色MOD,角色MOD表[],MATCH(V$18,角色MOD表[#Headers],0),0),0),IFERROR(VLOOKUP(_xlfn._xlws.FILTER(BUFF,_xlfn.SEQUENCE(ROWS(BUFF))&lt;&gt;ROWS($E$19:$E32)),BUFF表[],MATCH(V$18,BUFF表[#Headers],0),0),0))</f>
        <v>3388.65048</v>
      </c>
      <c r="W32" s="20" cm="1">
        <f t="array" ref="W32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32)),BUFF表[],MATCH("MOD属性",BUFF表[#Headers],0),0),0)),1)))*VLOOKUP(角色MOD,角色MOD表[],MATCH(W$18,角色MOD表[#Headers],0),0),0),IFERROR(VLOOKUP(_xlfn._xlws.FILTER(BUFF,_xlfn.SEQUENCE(ROWS(BUFF))&lt;&gt;ROWS($E$19:$E32)),BUFF表[],MATCH(W$18,BUFF表[#Headers],0),0),0))</f>
        <v>971.49024</v>
      </c>
      <c r="X32" s="23" cm="1">
        <f t="array" ref="X32">删BUFF取角色属性(X$18,ROWS($E$19:$E32))</f>
        <v>8.01554</v>
      </c>
      <c r="Y32" s="23" cm="1">
        <f t="array" ref="Y32">删BUFF取角色属性(Y$18,ROWS($E$19:$E32))</f>
        <v>1.2</v>
      </c>
      <c r="Z32" s="23" cm="1">
        <f t="array" ref="Z32">删BUFF取角色属性(Z$18,ROWS($E$19:$E32))</f>
        <v>0</v>
      </c>
      <c r="AA32" s="23" cm="1">
        <f t="array" ref="AA32">删BUFF取角色属性(AA$18,ROWS($E$19:$E32))</f>
        <v>1.33594</v>
      </c>
      <c r="AB32" s="23" cm="1">
        <f t="array" ref="AB32">删BUFF取角色属性(AB$18,ROWS($E$19:$E32))</f>
        <v>0</v>
      </c>
      <c r="AC32" s="23" cm="1">
        <f t="array" ref="AC32">删BUFF取角色属性(AC$18,ROWS($E$19:$E32))</f>
        <v>0.83008</v>
      </c>
      <c r="AD32" s="23" cm="1">
        <f t="array" ref="AD32">删BUFF取角色属性(AD$18,ROWS($E$19:$E32))</f>
        <v>2.25</v>
      </c>
      <c r="AE32" s="23" cm="1">
        <f t="array" ref="AE32">删BUFF取角色属性(AE$18,ROWS($E$19:$E32))</f>
        <v>0</v>
      </c>
      <c r="AF32" s="23" cm="1">
        <f t="array" ref="AF32">删BUFF取角色属性(AF$18,ROWS($E$19:$E32))</f>
        <v>0.24</v>
      </c>
      <c r="AG32" s="23" cm="1">
        <f t="array" ref="AG32">删BUFF取角色属性(AG$18,ROWS($E$19:$E32))</f>
        <v>0</v>
      </c>
      <c r="AH32" s="23" cm="1">
        <f t="array" ref="AH32">删BUFF取角色属性(AH$18,ROWS($E$19:$E32))</f>
        <v>0</v>
      </c>
      <c r="AV32" t="str">
        <v>锋芒重剑</v>
      </c>
      <c r="AW32" t="str">
        <v>专注</v>
      </c>
      <c r="AX32" t="str">
        <v>衰微</v>
      </c>
    </row>
    <row r="33" customFormat="1" customHeight="1" spans="1:50">
      <c r="A33" s="68" t="s">
        <v>71</v>
      </c>
      <c r="B33" s="78">
        <f>IF($B$4="护盾",1,0)</f>
        <v>0</v>
      </c>
      <c r="C33" s="78" cm="1">
        <f t="array" ref="C33">取角色总属性(A33)</f>
        <v>0</v>
      </c>
      <c r="D33" s="76">
        <f t="shared" si="1"/>
        <v>0</v>
      </c>
      <c r="E33" s="69"/>
      <c r="F33" s="69"/>
      <c r="G33" s="102" t="str" cm="1">
        <f t="array" ref="G33">IFERROR(INDEX(BUFF表[#Headers],SMALL(_xlfn._xlws.FILTER(COLUMN(_xlfn.DROP(INDEX(BUFF表[],MATCH($E33,BUFF表[名称],0),),,MATCH("描述",BUFF表[#Headers],0)))*(_xlfn.DROP(INDEX(BUFF表[],MATCH($E33,BUFF表[名称],0),),,MATCH("描述",BUFF表[#Headers],0))&lt;&gt;""),COLUMN(_xlfn.DROP(INDEX(BUFF表[],MATCH($E33,BUFF表[名称],0),),,MATCH("描述",BUFF表[#Headers],0)))*(_xlfn.DROP(INDEX(BUFF表[],MATCH($E33,BUFF表[名称],0),),,MATCH("描述",BUFF表[#Headers],0))&lt;&gt;"")&lt;&gt;0),ROUNDUP(COLUMNS($G33:G33)/2,0))),"")</f>
        <v/>
      </c>
      <c r="H33" s="103" t="str" cm="1">
        <f t="array" ref="H33">IFERROR(ROUND(IFERROR(1/VLOOKUP($E33,BUFF表[],MATCH("a",BUFF表[#Headers],0),0)*(1+1/VLOOKUP($E33,BUFF表[],MATCH("b",BUFF表[#Headers],0),0)*(IF($F33="",VLOOKUP($E33,BUFF表[],MATCH("dx",BUFF表[#Headers],0),0),$F33)-VLOOKUP($E33,BUFF表[],MATCH("lx",BUFF表[#Headers],0),0))),1)*INDEX(INDEX(BUFF表[],MATCH($E33,BUFF表[名称],0),),SMALL(_xlfn._xlws.FILTER(COLUMN(_xlfn.DROP(INDEX(BUFF表[],MATCH($E33,BUFF表[名称],0),),,MATCH("描述",BUFF表[#Headers],0)))*(_xlfn.DROP(INDEX(BUFF表[],MATCH($E33,BUFF表[名称],0),),,MATCH("描述",BUFF表[#Headers],0))&lt;&gt;""),COLUMN(_xlfn.DROP(INDEX(BUFF表[],MATCH($E33,BUFF表[名称],0),),,MATCH("描述",BUFF表[#Headers],0)))*(_xlfn.DROP(INDEX(BUFF表[],MATCH($E33,BUFF表[名称],0),),,MATCH("描述",BUFF表[#Headers],0))&lt;&gt;"")&lt;&gt;0),ROUNDUP(COLUMNS($G33:G33)/2,0))),3),"")</f>
        <v/>
      </c>
      <c r="I33" s="102" t="str" cm="1">
        <f t="array" ref="I33">IFERROR(INDEX(BUFF表[#Headers],SMALL(_xlfn._xlws.FILTER(COLUMN(_xlfn.DROP(INDEX(BUFF表[],MATCH($E33,BUFF表[名称],0),),,MATCH("描述",BUFF表[#Headers],0)))*(_xlfn.DROP(INDEX(BUFF表[],MATCH($E33,BUFF表[名称],0),),,MATCH("描述",BUFF表[#Headers],0))&lt;&gt;""),COLUMN(_xlfn.DROP(INDEX(BUFF表[],MATCH($E33,BUFF表[名称],0),),,MATCH("描述",BUFF表[#Headers],0)))*(_xlfn.DROP(INDEX(BUFF表[],MATCH($E33,BUFF表[名称],0),),,MATCH("描述",BUFF表[#Headers],0))&lt;&gt;"")&lt;&gt;0),ROUNDUP(COLUMNS($G33:I33)/2,0))),"")</f>
        <v/>
      </c>
      <c r="J33" s="103" t="str" cm="1">
        <f t="array" ref="J33">IFERROR(ROUND(IFERROR(1/VLOOKUP($E33,BUFF表[],MATCH("a",BUFF表[#Headers],0),0)*(1+1/VLOOKUP($E33,BUFF表[],MATCH("b",BUFF表[#Headers],0),0)*(IF($F33="",VLOOKUP($E33,BUFF表[],MATCH("dx",BUFF表[#Headers],0),0),$F33)-VLOOKUP($E33,BUFF表[],MATCH("lx",BUFF表[#Headers],0),0))),1)*INDEX(INDEX(BUFF表[],MATCH($E33,BUFF表[名称],0),),SMALL(_xlfn._xlws.FILTER(COLUMN(_xlfn.DROP(INDEX(BUFF表[],MATCH($E33,BUFF表[名称],0),),,MATCH("描述",BUFF表[#Headers],0)))*(_xlfn.DROP(INDEX(BUFF表[],MATCH($E33,BUFF表[名称],0),),,MATCH("描述",BUFF表[#Headers],0))&lt;&gt;""),COLUMN(_xlfn.DROP(INDEX(BUFF表[],MATCH($E33,BUFF表[名称],0),),,MATCH("描述",BUFF表[#Headers],0)))*(_xlfn.DROP(INDEX(BUFF表[],MATCH($E33,BUFF表[名称],0),),,MATCH("描述",BUFF表[#Headers],0))&lt;&gt;"")&lt;&gt;0),ROUNDUP(COLUMNS($G33:I33)/2,0))),3),"")</f>
        <v/>
      </c>
      <c r="K33" s="102" t="str" cm="1">
        <f t="array" ref="K33">IFERROR(INDEX(BUFF表[#Headers],SMALL(_xlfn._xlws.FILTER(COLUMN(_xlfn.DROP(INDEX(BUFF表[],MATCH($E33,BUFF表[名称],0),),,MATCH("描述",BUFF表[#Headers],0)))*(_xlfn.DROP(INDEX(BUFF表[],MATCH($E33,BUFF表[名称],0),),,MATCH("描述",BUFF表[#Headers],0))&lt;&gt;""),COLUMN(_xlfn.DROP(INDEX(BUFF表[],MATCH($E33,BUFF表[名称],0),),,MATCH("描述",BUFF表[#Headers],0)))*(_xlfn.DROP(INDEX(BUFF表[],MATCH($E33,BUFF表[名称],0),),,MATCH("描述",BUFF表[#Headers],0))&lt;&gt;"")&lt;&gt;0),ROUNDUP(COLUMNS($G33:K33)/2,0))),"")</f>
        <v/>
      </c>
      <c r="L33" s="103" t="str" cm="1">
        <f t="array" ref="L33">IFERROR(ROUND(IFERROR(1/VLOOKUP($E33,BUFF表[],MATCH("a",BUFF表[#Headers],0),0)*(1+1/VLOOKUP($E33,BUFF表[],MATCH("b",BUFF表[#Headers],0),0)*(IF($F33="",VLOOKUP($E33,BUFF表[],MATCH("dx",BUFF表[#Headers],0),0),$F33)-VLOOKUP($E33,BUFF表[],MATCH("lx",BUFF表[#Headers],0),0))),1)*INDEX(INDEX(BUFF表[],MATCH($E33,BUFF表[名称],0),),SMALL(_xlfn._xlws.FILTER(COLUMN(_xlfn.DROP(INDEX(BUFF表[],MATCH($E33,BUFF表[名称],0),),,MATCH("描述",BUFF表[#Headers],0)))*(_xlfn.DROP(INDEX(BUFF表[],MATCH($E33,BUFF表[名称],0),),,MATCH("描述",BUFF表[#Headers],0))&lt;&gt;""),COLUMN(_xlfn.DROP(INDEX(BUFF表[],MATCH($E33,BUFF表[名称],0),),,MATCH("描述",BUFF表[#Headers],0)))*(_xlfn.DROP(INDEX(BUFF表[],MATCH($E33,BUFF表[名称],0),),,MATCH("描述",BUFF表[#Headers],0))&lt;&gt;"")&lt;&gt;0),ROUNDUP(COLUMNS($G33:K33)/2,0))),3),"")</f>
        <v/>
      </c>
      <c r="M33" s="102" t="str" cm="1">
        <f t="array" ref="M33">IFERROR(INDEX(BUFF表[#Headers],SMALL(_xlfn._xlws.FILTER(COLUMN(_xlfn.DROP(INDEX(BUFF表[],MATCH($E33,BUFF表[名称],0),),,MATCH("描述",BUFF表[#Headers],0)))*(_xlfn.DROP(INDEX(BUFF表[],MATCH($E33,BUFF表[名称],0),),,MATCH("描述",BUFF表[#Headers],0))&lt;&gt;""),COLUMN(_xlfn.DROP(INDEX(BUFF表[],MATCH($E33,BUFF表[名称],0),),,MATCH("描述",BUFF表[#Headers],0)))*(_xlfn.DROP(INDEX(BUFF表[],MATCH($E33,BUFF表[名称],0),),,MATCH("描述",BUFF表[#Headers],0))&lt;&gt;"")&lt;&gt;0),ROUNDUP(COLUMNS($G33:M33)/2,0))),"")</f>
        <v/>
      </c>
      <c r="N33" s="103" t="str" cm="1">
        <f t="array" ref="N33">IFERROR(ROUND(IFERROR(1/VLOOKUP($E33,BUFF表[],MATCH("a",BUFF表[#Headers],0),0)*(1+1/VLOOKUP($E33,BUFF表[],MATCH("b",BUFF表[#Headers],0),0)*(IF($F33="",VLOOKUP($E33,BUFF表[],MATCH("dx",BUFF表[#Headers],0),0),$F33)-VLOOKUP($E33,BUFF表[],MATCH("lx",BUFF表[#Headers],0),0))),1)*INDEX(INDEX(BUFF表[],MATCH($E33,BUFF表[名称],0),),SMALL(_xlfn._xlws.FILTER(COLUMN(_xlfn.DROP(INDEX(BUFF表[],MATCH($E33,BUFF表[名称],0),),,MATCH("描述",BUFF表[#Headers],0)))*(_xlfn.DROP(INDEX(BUFF表[],MATCH($E33,BUFF表[名称],0),),,MATCH("描述",BUFF表[#Headers],0))&lt;&gt;""),COLUMN(_xlfn.DROP(INDEX(BUFF表[],MATCH($E33,BUFF表[名称],0),),,MATCH("描述",BUFF表[#Headers],0)))*(_xlfn.DROP(INDEX(BUFF表[],MATCH($E33,BUFF表[名称],0),),,MATCH("描述",BUFF表[#Headers],0))&lt;&gt;"")&lt;&gt;0),ROUNDUP(COLUMNS($G33:M33)/2,0))),3),"")</f>
        <v/>
      </c>
      <c r="O33" s="136" t="str">
        <f>IFERROR(VLOOKUP(E33,BUFF表[],MATCH("描述",BUFF表[#Headers],0),0),"")</f>
        <v/>
      </c>
      <c r="P33" s="137"/>
      <c r="Q33" s="137"/>
      <c r="R33" s="137"/>
      <c r="S33" s="138"/>
      <c r="T33" s="20" cm="1">
        <f t="array" ref="T33">X33*SUM(B$24*U33,B$26*V33,B$25*W33,B$27)*昂扬背水乘区(AB33,AC33)*SUM(1,AD33,AE33)*(1-敌方抗性+AF33)*(1+AG33)/IF($A$39="DPMP",ROUNDUP($B$30*(2-Z33),0),1)/IF($A$39="DPSMP",ROUNDUP($B$31*MAX(0.25,(2-Z33)/Y33),0),1)*防御乘区(AH33)</f>
        <v>883554.803647683</v>
      </c>
      <c r="U33" s="20" cm="1">
        <f t="array" ref="U33">删BUFF取角色属性(U$18,ROWS($E$19:$E33))*(1+删BUFF取角色属性("属性伤",ROWS($E$19:$E33)))</f>
        <v>6096.68763763837</v>
      </c>
      <c r="V33" s="20" cm="1">
        <f t="array" ref="V33">$B$8*SUM(1,$H$3,IFERROR(VLOOKUP($B$3,角色表[],MATCH(V$18,角色表[#Headers],0),0),0),IFERROR((5+$D$60)/10*VLOOKUP(近战武器,近战武器表[],MATCH(V$18,近战武器表[#Headers],0),0),0),IFERROR((5+$D$92)/10*VLOOKUP(远程武器,远程武器表[],MATCH(V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33)),BUFF表[],MATCH("MOD属性",BUFF表[#Headers],0),0),0)),1)))*VLOOKUP(角色MOD,角色MOD表[],MATCH(V$18,角色MOD表[#Headers],0),0),0),IFERROR(VLOOKUP(_xlfn._xlws.FILTER(BUFF,_xlfn.SEQUENCE(ROWS(BUFF))&lt;&gt;ROWS($E$19:$E33)),BUFF表[],MATCH(V$18,BUFF表[#Headers],0),0),0))</f>
        <v>3388.65048</v>
      </c>
      <c r="W33" s="20" cm="1">
        <f t="array" ref="W33">$B$10*SUM(1,$H$3,IFERROR(VLOOKUP($B$3,角色表[],MATCH(W$18,角色表[#Headers],0),0),0),IFERROR((5+$D$60)/10*VLOOKUP(近战武器,近战武器表[],MATCH(W$18,近战武器表[#Headers],0),0),0),IFERROR((5+$D$92)/10*VLOOKUP(远程武器,远程武器表[],MATCH(W$18,远程武器表[#Headers],0),0),0)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VLOOKUP(_xlfn._xlws.FILTER(BUFF,_xlfn.SEQUENCE(ROWS(BUFF))&lt;&gt;ROWS($E$19:$E33)),BUFF表[],MATCH("MOD属性",BUFF表[#Headers],0),0),0)),1)))*VLOOKUP(角色MOD,角色MOD表[],MATCH(W$18,角色MOD表[#Headers],0),0),0),IFERROR(VLOOKUP(_xlfn._xlws.FILTER(BUFF,_xlfn.SEQUENCE(ROWS(BUFF))&lt;&gt;ROWS($E$19:$E33)),BUFF表[],MATCH(W$18,BUFF表[#Headers],0),0),0))</f>
        <v>971.49024</v>
      </c>
      <c r="X33" s="23" cm="1">
        <f t="array" ref="X33">删BUFF取角色属性(X$18,ROWS($E$19:$E33))</f>
        <v>8.01554</v>
      </c>
      <c r="Y33" s="23" cm="1">
        <f t="array" ref="Y33">删BUFF取角色属性(Y$18,ROWS($E$19:$E33))</f>
        <v>1.2</v>
      </c>
      <c r="Z33" s="23" cm="1">
        <f t="array" ref="Z33">删BUFF取角色属性(Z$18,ROWS($E$19:$E33))</f>
        <v>0</v>
      </c>
      <c r="AA33" s="23" cm="1">
        <f t="array" ref="AA33">删BUFF取角色属性(AA$18,ROWS($E$19:$E33))</f>
        <v>1.33594</v>
      </c>
      <c r="AB33" s="23" cm="1">
        <f t="array" ref="AB33">删BUFF取角色属性(AB$18,ROWS($E$19:$E33))</f>
        <v>0</v>
      </c>
      <c r="AC33" s="23" cm="1">
        <f t="array" ref="AC33">删BUFF取角色属性(AC$18,ROWS($E$19:$E33))</f>
        <v>0.83008</v>
      </c>
      <c r="AD33" s="23" cm="1">
        <f t="array" ref="AD33">删BUFF取角色属性(AD$18,ROWS($E$19:$E33))</f>
        <v>2.25</v>
      </c>
      <c r="AE33" s="23" cm="1">
        <f t="array" ref="AE33">删BUFF取角色属性(AE$18,ROWS($E$19:$E33))</f>
        <v>0</v>
      </c>
      <c r="AF33" s="23" cm="1">
        <f t="array" ref="AF33">删BUFF取角色属性(AF$18,ROWS($E$19:$E33))</f>
        <v>0.24</v>
      </c>
      <c r="AG33" s="23" cm="1">
        <f t="array" ref="AG33">删BUFF取角色属性(AG$18,ROWS($E$19:$E33))</f>
        <v>0</v>
      </c>
      <c r="AH33" s="23" cm="1">
        <f t="array" ref="AH33">删BUFF取角色属性(AH$18,ROWS($E$19:$E33))</f>
        <v>0</v>
      </c>
      <c r="AV33" t="str">
        <v>锋芒双刀</v>
      </c>
      <c r="AW33" t="str">
        <v>盛怒</v>
      </c>
      <c r="AX33" t="str">
        <v>横暴</v>
      </c>
    </row>
    <row r="34" customFormat="1" customHeight="1" spans="1:50">
      <c r="A34" s="68" t="s">
        <v>118</v>
      </c>
      <c r="B34" s="90">
        <v>1</v>
      </c>
      <c r="C34" s="89" cm="1">
        <f t="array" ref="C34">B34+取角色总属性(A34)</f>
        <v>5</v>
      </c>
      <c r="D34" s="79" cm="1">
        <f t="array" ref="D34">PRODUCT(D19:D33+1)-1</f>
        <v>7.15540046517154</v>
      </c>
      <c r="AV34" t="str">
        <v>锋芒鞭刃</v>
      </c>
      <c r="AW34" t="str">
        <v>缠缚</v>
      </c>
      <c r="AX34" t="str">
        <v>余威</v>
      </c>
    </row>
    <row r="35" customFormat="1" customHeight="1" spans="1:50">
      <c r="A35" s="68" t="s">
        <v>119</v>
      </c>
      <c r="B35" s="89">
        <f>2+ROUNDDOWN(B11/200,0)</f>
        <v>2</v>
      </c>
      <c r="C35" s="89" cm="1">
        <f t="array" ref="C35">ROUND(SUM(2+ROUNDDOWN(C11/200,0),取角色总属性(A35)+0),0)</f>
        <v>14</v>
      </c>
      <c r="AV35" t="str">
        <v>锋芒太刀</v>
      </c>
      <c r="AW35" t="str">
        <v>锋锐</v>
      </c>
      <c r="AX35" t="str">
        <v>丰收</v>
      </c>
    </row>
    <row r="36" customFormat="1" customHeight="1" spans="1:50">
      <c r="A36" s="68" t="s">
        <v>120</v>
      </c>
      <c r="B36" s="72" t="str" cm="1">
        <f t="array" ref="B36">_xlfn.MAP(IFERROR(基础神智/(B31-B35/3),-1),_xlfn.LAMBDA(_xlpm.x,IF(_xlpm.x&lt;0,"无限",_xlpm.x)))</f>
        <v>无限</v>
      </c>
      <c r="C36" s="72" t="str" cm="1">
        <f t="array" ref="C36">_xlfn.MAP(IFERROR(C11/(C31-C35/3),-1),_xlfn.LAMBDA(_xlpm.x,IF(_xlpm.x&lt;0,"无限",_xlpm.x)))</f>
        <v>无限</v>
      </c>
      <c r="AV36" t="str">
        <v>锋芒手枪</v>
      </c>
      <c r="AW36" t="str">
        <v>透析</v>
      </c>
      <c r="AX36" t="str">
        <v>灵巧</v>
      </c>
    </row>
    <row r="37" customFormat="1" customHeight="1" spans="48:50">
      <c r="AV37" t="str">
        <v>锋芒双枪</v>
      </c>
      <c r="AW37" t="str">
        <v>重压</v>
      </c>
      <c r="AX37" t="str">
        <v>弓矢</v>
      </c>
    </row>
    <row r="38" customFormat="1" ht="18" spans="1:50">
      <c r="A38" s="115" t="s">
        <v>121</v>
      </c>
      <c r="B38" s="116"/>
      <c r="C38" s="116"/>
      <c r="D38" s="117" t="s">
        <v>122</v>
      </c>
      <c r="E38" s="117"/>
      <c r="F38" s="117"/>
      <c r="G38" s="117"/>
      <c r="H38" s="117"/>
      <c r="I38" s="117"/>
      <c r="J38" s="117"/>
      <c r="K38" s="117"/>
      <c r="L38" s="117"/>
      <c r="M38" s="117"/>
      <c r="AV38" t="str">
        <v>锋芒榴炮</v>
      </c>
      <c r="AW38" t="str">
        <v>攻势·专注</v>
      </c>
      <c r="AX38" t="str">
        <v>箭匣</v>
      </c>
    </row>
    <row r="39" customFormat="1" customHeight="1" spans="1:50">
      <c r="A39" s="118" t="s">
        <v>123</v>
      </c>
      <c r="B39" s="119" cm="1">
        <f t="array" ref="B39">SUM(C24*C7,C26*C8,C25*C10,C27)*(1+C16*$F$4)*(1+4*C17*(1-MAX(0.25,$F$4))*(1.5-MAX(0.25,$F$4)))*SUM(1,C18,C21)*(1-$M$4+$C$22)*(1+$C$19)/IF($A$39="DPMP",$C$30,1)/IF($A$39="DPSMP",$C$31,1)*_xlfn.MAP($M$3,_xlfn.LAMBDA(_xlpm.v,1-(1-(1-_xlpm.v/(30+_xlpm.v-MAX(0,MIN(20,MIN(80,$J$3)-$F$3)))))*(1-$C$33)))</f>
        <v>883554.803647683</v>
      </c>
      <c r="C39" s="119"/>
      <c r="D39" s="82" t="s">
        <v>45</v>
      </c>
      <c r="E39" s="24" t="s">
        <v>46</v>
      </c>
      <c r="F39" s="24" t="s">
        <v>47</v>
      </c>
      <c r="G39" s="92" t="s">
        <v>48</v>
      </c>
      <c r="H39" s="24" t="s">
        <v>49</v>
      </c>
      <c r="I39" s="24" t="s">
        <v>50</v>
      </c>
      <c r="J39" s="104" t="s">
        <v>51</v>
      </c>
      <c r="K39" s="104" t="s">
        <v>52</v>
      </c>
      <c r="L39" s="105" t="s">
        <v>53</v>
      </c>
      <c r="M39" s="105"/>
      <c r="N39" s="105" t="s">
        <v>54</v>
      </c>
      <c r="O39" s="105"/>
      <c r="P39" s="105" t="s">
        <v>55</v>
      </c>
      <c r="Q39" s="105"/>
      <c r="R39" s="105" t="s">
        <v>56</v>
      </c>
      <c r="S39" s="105"/>
      <c r="T39" s="20" t="s">
        <v>124</v>
      </c>
      <c r="U39" s="20" t="s">
        <v>58</v>
      </c>
      <c r="V39" s="20" t="s">
        <v>59</v>
      </c>
      <c r="W39" s="20" t="s">
        <v>60</v>
      </c>
      <c r="X39" s="20" t="s">
        <v>61</v>
      </c>
      <c r="Y39" s="20" t="s">
        <v>62</v>
      </c>
      <c r="Z39" s="20" t="s">
        <v>63</v>
      </c>
      <c r="AA39" s="20" t="s">
        <v>64</v>
      </c>
      <c r="AB39" s="20" t="s">
        <v>65</v>
      </c>
      <c r="AC39" s="20" t="s">
        <v>66</v>
      </c>
      <c r="AD39" s="20" t="s">
        <v>67</v>
      </c>
      <c r="AE39" s="20" t="s">
        <v>68</v>
      </c>
      <c r="AF39" s="18" t="s">
        <v>69</v>
      </c>
      <c r="AG39" s="18" t="s">
        <v>70</v>
      </c>
      <c r="AH39" s="18" t="s">
        <v>71</v>
      </c>
      <c r="AV39" t="str">
        <v>锋芒霰弹枪</v>
      </c>
      <c r="AW39" t="str">
        <v>盛怒·缠缚</v>
      </c>
      <c r="AX39" t="str">
        <v>重压·缠缚</v>
      </c>
    </row>
    <row r="40" customFormat="1" customHeight="1" spans="1:50">
      <c r="A40" s="120" t="s">
        <v>125</v>
      </c>
      <c r="B40" s="119"/>
      <c r="C40" s="119"/>
      <c r="D40" s="76">
        <f t="shared" ref="D40:D47" si="3">(T40-B$39)/B$39</f>
        <v>-0.2607435057401</v>
      </c>
      <c r="E40" s="78" t="str">
        <f>VLOOKUP($B$6,$BD$2:$BI$7,ROWS(E$40:E40)+1,0)</f>
        <v>薰风吐息(触发)</v>
      </c>
      <c r="F40" s="93" t="str">
        <f>IFERROR(VLOOKUP($E40,角色MOD表[],MATCH(F$6,角色MOD表[#Headers],0),0),"")</f>
        <v/>
      </c>
      <c r="G40" s="93" t="str">
        <f>IFERROR(VLOOKUP($E40,角色MOD表[],MATCH(G$6,角色MOD表[#Headers],0),0),"")</f>
        <v/>
      </c>
      <c r="H40" s="93" t="str">
        <f>IFERROR(VLOOKUP($E40,角色MOD表[],MATCH(H$6,角色MOD表[#Headers],0),0),"")&amp;""</f>
        <v/>
      </c>
      <c r="I40" s="93">
        <f>IF(AND(K40&lt;&gt;"",H40&lt;&gt;""),ROUNDUP(IF(H40=K40,IFERROR(VLOOKUP($E40,角色MOD表[],6,0)+$J40-IF($G40="金",10,IF($G40="绿",3,5)),0)/2,IFERROR(VLOOKUP($E40,角色MOD表[],6,0)+$J40-IF($G40="金",10,IF($G40="绿",3,5)),0)*1.5),0),IFERROR(VLOOKUP($E40,角色MOD表[],6,0)+$J40-IF($G40="金",10,IF($G40="绿",3,5)),0))</f>
        <v>0</v>
      </c>
      <c r="J40" s="106">
        <v>10</v>
      </c>
      <c r="K40" s="69"/>
      <c r="L40" s="68" t="str" cm="1">
        <f t="array" ref="L40">IFERROR(INDEX(角色MOD表[#Headers],SMALL(_xlfn._xlws.FILTER(COLUMN(_xlfn.DROP(INDEX(角色MOD表[],MATCH($E40,角色MOD表[名称],0),),,MATCH("耐受",角色MOD表[#Headers],0)))*(_xlfn.DROP(INDEX(角色MOD表[],MATCH($E40,角色MOD表[名称],0),),,6)&lt;&gt;""),COLUMN(_xlfn.DROP(INDEX(角色MOD表[],MATCH($E40,角色MOD表[名称],0),),,MATCH("耐受",角色MOD表[#Headers],0)))*(_xlfn.DROP(INDEX(角色MOD表[],MATCH($E40,角色MOD表[名称],0),),,6)&lt;&gt;"")&lt;&gt;0),ROUNDUP(COLUMNS($L40:L40)/2,0))),"")</f>
        <v/>
      </c>
      <c r="M40" s="78" t="str" cm="1">
        <f t="array" ref="M40">IFERROR(_xlfn.MAP(INDEX(INDEX(角色MOD表[],MATCH($E40,角色MOD表[名称],0),),SMALL(_xlfn._xlws.FILTER(COLUMN(_xlfn.DROP(INDEX(角色MOD表[],MATCH($E40,角色MOD表[名称],0),),,MATCH("耐受",角色MOD表[#Headers],0)))*(_xlfn.DROP(INDEX(角色MOD表[],MATCH($E40,角色MOD表[名称],0),),,MATCH("耐受",角色MOD表[#Headers],0))&lt;&gt;""),COLUMN(_xlfn.DROP(INDEX(角色MOD表[],MATCH($E40,角色MOD表[名称],0),),,MATCH("耐受",角色MOD表[#Headers],0)))*(_xlfn.DROP(INDEX(角色MOD表[],MATCH($E40,角色MOD表[名称],0),),,MATCH("耐受",角色MOD表[#Headers],0))&lt;&gt;"")&lt;&gt;0),ROUNDUP(COLUMNS($L40:L40)/2,0))),_xlfn.LAMBDA(_xlpm.x,IFERROR(IF(ISNUMBER(MATCH($F40,{"百首","狮鹫","契约者"},0)),1+SUM(IFERROR(BUFF层数乘数*VLOOKUP(BUFF,BUFF表[],MATCH("MOD属性",BUFF表[#Headers],0),0),0)),1)*MIN(1,($J40+1)/IF($G40="金",11,IF($G40="绿",4,6)))*_xlpm.x,_xlpm.x))),"")</f>
        <v/>
      </c>
      <c r="N40" s="68" t="str" cm="1">
        <f t="array" ref="N40">IFERROR(INDEX(角色MOD表[#Headers],SMALL(_xlfn._xlws.FILTER(COLUMN(_xlfn.DROP(INDEX(角色MOD表[],MATCH($E40,角色MOD表[名称],0),),,MATCH("耐受",角色MOD表[#Headers],0)))*(_xlfn.DROP(INDEX(角色MOD表[],MATCH($E40,角色MOD表[名称],0),),,6)&lt;&gt;""),COLUMN(_xlfn.DROP(INDEX(角色MOD表[],MATCH($E40,角色MOD表[名称],0),),,MATCH("耐受",角色MOD表[#Headers],0)))*(_xlfn.DROP(INDEX(角色MOD表[],MATCH($E40,角色MOD表[名称],0),),,6)&lt;&gt;"")&lt;&gt;0),ROUNDUP(COLUMNS($L40:N40)/2,0))),"")</f>
        <v/>
      </c>
      <c r="O40" s="78" t="str" cm="1">
        <f t="array" ref="O40">IFERROR(_xlfn.MAP(INDEX(INDEX(角色MOD表[],MATCH($E40,角色MOD表[名称],0),),SMALL(_xlfn._xlws.FILTER(COLUMN(_xlfn.DROP(INDEX(角色MOD表[],MATCH($E40,角色MOD表[名称],0),),,MATCH("耐受",角色MOD表[#Headers],0)))*(_xlfn.DROP(INDEX(角色MOD表[],MATCH($E40,角色MOD表[名称],0),),,MATCH("耐受",角色MOD表[#Headers],0))&lt;&gt;""),COLUMN(_xlfn.DROP(INDEX(角色MOD表[],MATCH($E40,角色MOD表[名称],0),),,MATCH("耐受",角色MOD表[#Headers],0)))*(_xlfn.DROP(INDEX(角色MOD表[],MATCH($E40,角色MOD表[名称],0),),,MATCH("耐受",角色MOD表[#Headers],0))&lt;&gt;"")&lt;&gt;0),ROUNDUP(COLUMNS($L40:N40)/2,0))),_xlfn.LAMBDA(_xlpm.x,IFERROR(IF(ISNUMBER(MATCH($F40,{"百首","狮鹫","契约者"},0)),1+SUM(IFERROR(BUFF层数乘数*VLOOKUP(BUFF,BUFF表[],MATCH("MOD属性",BUFF表[#Headers],0),0),0)),1)*MIN(1,($J40+1)/IF($G40="金",11,IF($G40="绿",4,6)))*_xlpm.x,_xlpm.x))),"")</f>
        <v/>
      </c>
      <c r="P40" s="68" t="str" cm="1">
        <f t="array" ref="P40">IFERROR(INDEX(角色MOD表[#Headers],SMALL(_xlfn._xlws.FILTER(COLUMN(_xlfn.DROP(INDEX(角色MOD表[],MATCH($E40,角色MOD表[名称],0),),,MATCH("耐受",角色MOD表[#Headers],0)))*(_xlfn.DROP(INDEX(角色MOD表[],MATCH($E40,角色MOD表[名称],0),),,6)&lt;&gt;""),COLUMN(_xlfn.DROP(INDEX(角色MOD表[],MATCH($E40,角色MOD表[名称],0),),,MATCH("耐受",角色MOD表[#Headers],0)))*(_xlfn.DROP(INDEX(角色MOD表[],MATCH($E40,角色MOD表[名称],0),),,6)&lt;&gt;"")&lt;&gt;0),ROUNDUP(COLUMNS($L40:P40)/2,0))),"")</f>
        <v/>
      </c>
      <c r="Q40" s="78" t="str" cm="1">
        <f t="array" ref="Q40">IFERROR(_xlfn.MAP(INDEX(INDEX(角色MOD表[],MATCH($E40,角色MOD表[名称],0),),SMALL(_xlfn._xlws.FILTER(COLUMN(_xlfn.DROP(INDEX(角色MOD表[],MATCH($E40,角色MOD表[名称],0),),,MATCH("耐受",角色MOD表[#Headers],0)))*(_xlfn.DROP(INDEX(角色MOD表[],MATCH($E40,角色MOD表[名称],0),),,MATCH("耐受",角色MOD表[#Headers],0))&lt;&gt;""),COLUMN(_xlfn.DROP(INDEX(角色MOD表[],MATCH($E40,角色MOD表[名称],0),),,MATCH("耐受",角色MOD表[#Headers],0)))*(_xlfn.DROP(INDEX(角色MOD表[],MATCH($E40,角色MOD表[名称],0),),,MATCH("耐受",角色MOD表[#Headers],0))&lt;&gt;"")&lt;&gt;0),ROUNDUP(COLUMNS($L40:P40)/2,0))),_xlfn.LAMBDA(_xlpm.x,IFERROR(IF(ISNUMBER(MATCH($F40,{"百首","狮鹫","契约者"},0)),1+SUM(IFERROR(BUFF层数乘数*VLOOKUP(BUFF,BUFF表[],MATCH("MOD属性",BUFF表[#Headers],0),0),0)),1)*MIN(1,($J40+1)/IF($G40="金",11,IF($G40="绿",4,6)))*_xlpm.x,_xlpm.x))),"")</f>
        <v/>
      </c>
      <c r="R40" s="68" t="str" cm="1">
        <f t="array" ref="R40">IFERROR(INDEX(角色MOD表[#Headers],SMALL(_xlfn._xlws.FILTER(COLUMN(_xlfn.DROP(INDEX(角色MOD表[],MATCH($E40,角色MOD表[名称],0),),,MATCH("耐受",角色MOD表[#Headers],0)))*(_xlfn.DROP(INDEX(角色MOD表[],MATCH($E40,角色MOD表[名称],0),),,6)&lt;&gt;""),COLUMN(_xlfn.DROP(INDEX(角色MOD表[],MATCH($E40,角色MOD表[名称],0),),,MATCH("耐受",角色MOD表[#Headers],0)))*(_xlfn.DROP(INDEX(角色MOD表[],MATCH($E40,角色MOD表[名称],0),),,6)&lt;&gt;"")&lt;&gt;0),ROUNDUP(COLUMNS($L40:R40)/2,0))),"")</f>
        <v/>
      </c>
      <c r="S40" s="78" t="str" cm="1">
        <f t="array" ref="S40">IFERROR(_xlfn.MAP(INDEX(INDEX(角色MOD表[],MATCH($E40,角色MOD表[名称],0),),SMALL(_xlfn._xlws.FILTER(COLUMN(_xlfn.DROP(INDEX(角色MOD表[],MATCH($E40,角色MOD表[名称],0),),,MATCH("耐受",角色MOD表[#Headers],0)))*(_xlfn.DROP(INDEX(角色MOD表[],MATCH($E40,角色MOD表[名称],0),),,MATCH("耐受",角色MOD表[#Headers],0))&lt;&gt;""),COLUMN(_xlfn.DROP(INDEX(角色MOD表[],MATCH($E40,角色MOD表[名称],0),),,MATCH("耐受",角色MOD表[#Headers],0)))*(_xlfn.DROP(INDEX(角色MOD表[],MATCH($E40,角色MOD表[名称],0),),,MATCH("耐受",角色MOD表[#Headers],0))&lt;&gt;"")&lt;&gt;0),ROUNDUP(COLUMNS($L40:R40)/2,0))),_xlfn.LAMBDA(_xlpm.x,IFERROR(IF(ISNUMBER(MATCH($F40,{"百首","狮鹫","契约者"},0)),1+SUM(IFERROR(BUFF层数乘数*VLOOKUP(BUFF,BUFF表[],MATCH("MOD属性",BUFF表[#Headers],0),0),0)),1)*MIN(1,($J40+1)/IF($G40="金",11,IF($G40="绿",4,6)))*_xlpm.x,_xlpm.x))),"")</f>
        <v/>
      </c>
      <c r="T40" s="20" cm="1">
        <f t="array" ref="T40">X40*SUM(B$24*U40,B$26*V40,B$25*W40,B$27)*昂扬背水乘区(AB40,AC40)*SUM(1,AD40,AE40)*(1-敌方抗性+AF40)*(1+AG40)/IF($A$39="DPMP",ROUNDUP($B$30*(2-Z40),0),1)/IF($A$39="DPSMP",ROUNDUP($B$31*MAX(0.25,(2-Z40)/Y40),0),1)*防御乘区(AH40)</f>
        <v>653173.62663108</v>
      </c>
      <c r="U40" s="20" cm="1">
        <f t="array" ref="U40">(取角色总属性(U$39)+基础(U$39)*取单角色MOD属性($E40,U$39))*(1+取角色总属性("属性伤")+取单角色MOD属性($E40,"属性伤"))</f>
        <v>6096.68763763837</v>
      </c>
      <c r="V40" s="20" cm="1">
        <f t="array" ref="V40">取角色总属性(V$39)+基础(V$39)*取单角色MOD属性($E40,V$39)</f>
        <v>3388.65048</v>
      </c>
      <c r="W40" s="20" cm="1">
        <f t="array" ref="W40">取角色总属性(W$39)+基础(W$39)*取单角色MOD属性($E40,W$39)</f>
        <v>971.49024</v>
      </c>
      <c r="X40" s="23" cm="1">
        <f t="array" ref="X40">取角色总属性(X$39)+基础(X$39)*取单角色MOD属性($E40,X$39)</f>
        <v>5.92554</v>
      </c>
      <c r="Y40" s="23" cm="1">
        <f t="array" ref="Y40">取角色总属性(Y$39)+基础(Y$39)*取单角色MOD属性($E40,Y$39)</f>
        <v>1.2</v>
      </c>
      <c r="Z40" s="23" cm="1">
        <f t="array" ref="Z40">取角色总属性(Z$39)+基础(Z$39)*取单角色MOD属性($E40,Z$39)</f>
        <v>0</v>
      </c>
      <c r="AA40" s="23" cm="1">
        <f t="array" ref="AA40">取角色总属性(AA$39)+基础(AA$39)*取单角色MOD属性($E40,AA$39)</f>
        <v>1.33594</v>
      </c>
      <c r="AB40" s="23" cm="1">
        <f t="array" ref="AB40">取角色总属性(AB$39)+基础(AB$39)*取单角色MOD属性($E40,AB$39)</f>
        <v>0</v>
      </c>
      <c r="AC40" s="23" cm="1">
        <f t="array" ref="AC40">取角色总属性(AC$39)+基础(AC$39)*取单角色MOD属性($E40,AC$39)</f>
        <v>0.83008</v>
      </c>
      <c r="AD40" s="23" cm="1">
        <f t="array" ref="AD40">取角色总属性(AD$39)+基础(AD$39)*取单角色MOD属性($E40,AD$39)</f>
        <v>2.25</v>
      </c>
      <c r="AE40" s="23" cm="1">
        <f t="array" ref="AE40">取角色总属性(AE$39)+基础(AE$39)*取单角色MOD属性($E40,AE$39)</f>
        <v>0</v>
      </c>
      <c r="AF40" s="23" cm="1">
        <f t="array" ref="AF40">取角色总属性(AF$39)+基础(AF$39)*取单角色MOD属性($E40,AF$39)</f>
        <v>0.24</v>
      </c>
      <c r="AG40" s="23" cm="1">
        <f t="array" ref="AG40">取角色总属性(AG$39)+基础(AG$39)*取单角色MOD属性($E40,AG$39)</f>
        <v>0</v>
      </c>
      <c r="AH40" s="23" cm="1">
        <f t="array" ref="AH40">取角色总属性(AH$39)+基础(AH$39)*取单角色MOD属性($E40,AH$39)</f>
        <v>0</v>
      </c>
      <c r="AV40" t="str">
        <v>锋芒突击枪</v>
      </c>
      <c r="AW40" t="str">
        <v>迅捷</v>
      </c>
      <c r="AX40" t="str">
        <v>攻势</v>
      </c>
    </row>
    <row r="41" customFormat="1" customHeight="1" spans="1:50">
      <c r="A41" s="121"/>
      <c r="B41" s="119"/>
      <c r="C41" s="119"/>
      <c r="D41" s="76">
        <f t="shared" si="3"/>
        <v>-0.148032775828292</v>
      </c>
      <c r="E41" s="78" t="str">
        <f>VLOOKUP($B$6,$BD$2:$BI$7,ROWS(E$40:E41)+1,0)</f>
        <v>炽灼·决断</v>
      </c>
      <c r="F41" s="93" t="str">
        <f>IFERROR(VLOOKUP($E41,角色MOD表[],MATCH(F$6,角色MOD表[#Headers],0),0),"")</f>
        <v>契约者</v>
      </c>
      <c r="G41" s="93" t="str">
        <f>IFERROR(VLOOKUP($E41,角色MOD表[],MATCH(G$6,角色MOD表[#Headers],0),0),"")</f>
        <v>金</v>
      </c>
      <c r="H41" s="93" t="str">
        <f>IFERROR(VLOOKUP($E41,角色MOD表[],MATCH(H$6,角色MOD表[#Headers],0),0),"")&amp;""</f>
        <v>V</v>
      </c>
      <c r="I41" s="93">
        <f>IF(AND(K41&lt;&gt;"",H41&lt;&gt;""),ROUNDUP(IF(H41=K41,IFERROR(VLOOKUP($E41,角色MOD表[],6,0)+$J41-IF($G41="金",10,IF($G41="绿",3,5)),0)/2,IFERROR(VLOOKUP($E41,角色MOD表[],6,0)+$J41-IF($G41="金",10,IF($G41="绿",3,5)),0)*1.5),0),IFERROR(VLOOKUP($E41,角色MOD表[],6,0)+$J41-IF($G41="金",10,IF($G41="绿",3,5)),0))</f>
        <v>20</v>
      </c>
      <c r="J41" s="106">
        <v>10</v>
      </c>
      <c r="K41" s="69"/>
      <c r="L41" s="68" t="str" cm="1">
        <f t="array" ref="L41">IFERROR(INDEX(角色MOD表[#Headers],SMALL(_xlfn._xlws.FILTER(COLUMN(_xlfn.DROP(INDEX(角色MOD表[],MATCH($E41,角色MOD表[名称],0),),,MATCH("耐受",角色MOD表[#Headers],0)))*(_xlfn.DROP(INDEX(角色MOD表[],MATCH($E41,角色MOD表[名称],0),),,6)&lt;&gt;""),COLUMN(_xlfn.DROP(INDEX(角色MOD表[],MATCH($E41,角色MOD表[名称],0),),,MATCH("耐受",角色MOD表[#Headers],0)))*(_xlfn.DROP(INDEX(角色MOD表[],MATCH($E41,角色MOD表[名称],0),),,6)&lt;&gt;"")&lt;&gt;0),ROUNDUP(COLUMNS($L41:L41)/2,0))),"")</f>
        <v>威力</v>
      </c>
      <c r="M41" s="78" cm="1">
        <f t="array" ref="M41">IFERROR(_xlfn.MAP(INDEX(INDEX(角色MOD表[],MATCH($E41,角色MOD表[名称],0),),SMALL(_xlfn._xlws.FILTER(COLUMN(_xlfn.DROP(INDEX(角色MOD表[],MATCH($E41,角色MOD表[名称],0),),,MATCH("耐受",角色MOD表[#Headers],0)))*(_xlfn.DROP(INDEX(角色MOD表[],MATCH($E41,角色MOD表[名称],0),),,MATCH("耐受",角色MOD表[#Headers],0))&lt;&gt;""),COLUMN(_xlfn.DROP(INDEX(角色MOD表[],MATCH($E41,角色MOD表[名称],0),),,MATCH("耐受",角色MOD表[#Headers],0)))*(_xlfn.DROP(INDEX(角色MOD表[],MATCH($E41,角色MOD表[名称],0),),,MATCH("耐受",角色MOD表[#Headers],0))&lt;&gt;"")&lt;&gt;0),ROUNDUP(COLUMNS($L41:L41)/2,0))),_xlfn.LAMBDA(_xlpm.x,IFERROR(IF(ISNUMBER(MATCH($F41,{"百首","狮鹫","契约者"},0)),1+SUM(IFERROR(BUFF层数乘数*VLOOKUP(BUFF,BUFF表[],MATCH("MOD属性",BUFF表[#Headers],0),0),0)),1)*MIN(1,($J41+1)/IF($G41="金",11,IF($G41="绿",4,6)))*_xlpm.x,_xlpm.x))),"")</f>
        <v>0.44792</v>
      </c>
      <c r="N41" s="68" t="str" cm="1">
        <f t="array" ref="N41">IFERROR(INDEX(角色MOD表[#Headers],SMALL(_xlfn._xlws.FILTER(COLUMN(_xlfn.DROP(INDEX(角色MOD表[],MATCH($E41,角色MOD表[名称],0),),,MATCH("耐受",角色MOD表[#Headers],0)))*(_xlfn.DROP(INDEX(角色MOD表[],MATCH($E41,角色MOD表[名称],0),),,6)&lt;&gt;""),COLUMN(_xlfn.DROP(INDEX(角色MOD表[],MATCH($E41,角色MOD表[名称],0),),,MATCH("耐受",角色MOD表[#Headers],0)))*(_xlfn.DROP(INDEX(角色MOD表[],MATCH($E41,角色MOD表[名称],0),),,6)&lt;&gt;"")&lt;&gt;0),ROUNDUP(COLUMNS($L41:N41)/2,0))),"")</f>
        <v>攻击</v>
      </c>
      <c r="O41" s="78" cm="1">
        <f t="array" ref="O41">IFERROR(_xlfn.MAP(INDEX(INDEX(角色MOD表[],MATCH($E41,角色MOD表[名称],0),),SMALL(_xlfn._xlws.FILTER(COLUMN(_xlfn.DROP(INDEX(角色MOD表[],MATCH($E41,角色MOD表[名称],0),),,MATCH("耐受",角色MOD表[#Headers],0)))*(_xlfn.DROP(INDEX(角色MOD表[],MATCH($E41,角色MOD表[名称],0),),,MATCH("耐受",角色MOD表[#Headers],0))&lt;&gt;""),COLUMN(_xlfn.DROP(INDEX(角色MOD表[],MATCH($E41,角色MOD表[名称],0),),,MATCH("耐受",角色MOD表[#Headers],0)))*(_xlfn.DROP(INDEX(角色MOD表[],MATCH($E41,角色MOD表[名称],0),),,MATCH("耐受",角色MOD表[#Headers],0))&lt;&gt;"")&lt;&gt;0),ROUNDUP(COLUMNS($L41:N41)/2,0))),_xlfn.LAMBDA(_xlpm.x,IFERROR(IF(ISNUMBER(MATCH($F41,{"百首","狮鹫","契约者"},0)),1+SUM(IFERROR(BUFF层数乘数*VLOOKUP(BUFF,BUFF表[],MATCH("MOD属性",BUFF表[#Headers],0),0),0)),1)*MIN(1,($J41+1)/IF($G41="金",11,IF($G41="绿",4,6)))*_xlpm.x,_xlpm.x))),"")</f>
        <v>0.89584</v>
      </c>
      <c r="P41" s="68" t="str" cm="1">
        <f t="array" ref="P41">IFERROR(INDEX(角色MOD表[#Headers],SMALL(_xlfn._xlws.FILTER(COLUMN(_xlfn.DROP(INDEX(角色MOD表[],MATCH($E41,角色MOD表[名称],0),),,MATCH("耐受",角色MOD表[#Headers],0)))*(_xlfn.DROP(INDEX(角色MOD表[],MATCH($E41,角色MOD表[名称],0),),,6)&lt;&gt;""),COLUMN(_xlfn.DROP(INDEX(角色MOD表[],MATCH($E41,角色MOD表[名称],0),),,MATCH("耐受",角色MOD表[#Headers],0)))*(_xlfn.DROP(INDEX(角色MOD表[],MATCH($E41,角色MOD表[名称],0),),,6)&lt;&gt;"")&lt;&gt;0),ROUNDUP(COLUMNS($L41:P41)/2,0))),"")</f>
        <v/>
      </c>
      <c r="Q41" s="78" t="str" cm="1">
        <f t="array" ref="Q41">IFERROR(_xlfn.MAP(INDEX(INDEX(角色MOD表[],MATCH($E41,角色MOD表[名称],0),),SMALL(_xlfn._xlws.FILTER(COLUMN(_xlfn.DROP(INDEX(角色MOD表[],MATCH($E41,角色MOD表[名称],0),),,MATCH("耐受",角色MOD表[#Headers],0)))*(_xlfn.DROP(INDEX(角色MOD表[],MATCH($E41,角色MOD表[名称],0),),,MATCH("耐受",角色MOD表[#Headers],0))&lt;&gt;""),COLUMN(_xlfn.DROP(INDEX(角色MOD表[],MATCH($E41,角色MOD表[名称],0),),,MATCH("耐受",角色MOD表[#Headers],0)))*(_xlfn.DROP(INDEX(角色MOD表[],MATCH($E41,角色MOD表[名称],0),),,MATCH("耐受",角色MOD表[#Headers],0))&lt;&gt;"")&lt;&gt;0),ROUNDUP(COLUMNS($L41:P41)/2,0))),_xlfn.LAMBDA(_xlpm.x,IFERROR(IF(ISNUMBER(MATCH($F41,{"百首","狮鹫","契约者"},0)),1+SUM(IFERROR(BUFF层数乘数*VLOOKUP(BUFF,BUFF表[],MATCH("MOD属性",BUFF表[#Headers],0),0),0)),1)*MIN(1,($J41+1)/IF($G41="金",11,IF($G41="绿",4,6)))*_xlpm.x,_xlpm.x))),"")</f>
        <v/>
      </c>
      <c r="R41" s="68" t="str" cm="1">
        <f t="array" ref="R41">IFERROR(INDEX(角色MOD表[#Headers],SMALL(_xlfn._xlws.FILTER(COLUMN(_xlfn.DROP(INDEX(角色MOD表[],MATCH($E41,角色MOD表[名称],0),),,MATCH("耐受",角色MOD表[#Headers],0)))*(_xlfn.DROP(INDEX(角色MOD表[],MATCH($E41,角色MOD表[名称],0),),,6)&lt;&gt;""),COLUMN(_xlfn.DROP(INDEX(角色MOD表[],MATCH($E41,角色MOD表[名称],0),),,MATCH("耐受",角色MOD表[#Headers],0)))*(_xlfn.DROP(INDEX(角色MOD表[],MATCH($E41,角色MOD表[名称],0),),,6)&lt;&gt;"")&lt;&gt;0),ROUNDUP(COLUMNS($L41:R41)/2,0))),"")</f>
        <v/>
      </c>
      <c r="S41" s="78" t="str" cm="1">
        <f t="array" ref="S41">IFERROR(_xlfn.MAP(INDEX(INDEX(角色MOD表[],MATCH($E41,角色MOD表[名称],0),),SMALL(_xlfn._xlws.FILTER(COLUMN(_xlfn.DROP(INDEX(角色MOD表[],MATCH($E41,角色MOD表[名称],0),),,MATCH("耐受",角色MOD表[#Headers],0)))*(_xlfn.DROP(INDEX(角色MOD表[],MATCH($E41,角色MOD表[名称],0),),,MATCH("耐受",角色MOD表[#Headers],0))&lt;&gt;""),COLUMN(_xlfn.DROP(INDEX(角色MOD表[],MATCH($E41,角色MOD表[名称],0),),,MATCH("耐受",角色MOD表[#Headers],0)))*(_xlfn.DROP(INDEX(角色MOD表[],MATCH($E41,角色MOD表[名称],0),),,MATCH("耐受",角色MOD表[#Headers],0))&lt;&gt;"")&lt;&gt;0),ROUNDUP(COLUMNS($L41:R41)/2,0))),_xlfn.LAMBDA(_xlpm.x,IFERROR(IF(ISNUMBER(MATCH($F41,{"百首","狮鹫","契约者"},0)),1+SUM(IFERROR(BUFF层数乘数*VLOOKUP(BUFF,BUFF表[],MATCH("MOD属性",BUFF表[#Headers],0),0),0)),1)*MIN(1,($J41+1)/IF($G41="金",11,IF($G41="绿",4,6)))*_xlpm.x,_xlpm.x))),"")</f>
        <v/>
      </c>
      <c r="T41" s="20" cm="1">
        <f t="array" ref="T41">X41*SUM(B$24*U41,B$26*V41,B$25*W41,B$27)*昂扬背水乘区(AB41,AC41)*SUM(1,AD41,AE41)*(1-敌方抗性+AF41)*(1+AG41)/IF($A$39="DPMP",ROUNDUP($B$30*(2-Z41),0),1)/IF($A$39="DPSMP",ROUNDUP($B$31*MAX(0.25,(2-Z41)/Y41),0),1)*防御乘区(AH41)</f>
        <v>752759.733467295</v>
      </c>
      <c r="U41" s="20" cm="1">
        <f t="array" ref="U41">(取角色总属性(U$39)+基础(U$39)*取单角色MOD属性($E41,U$39))*(1+取角色总属性("属性伤")+取单角色MOD属性($E41,"属性伤"))</f>
        <v>6532.42381266038</v>
      </c>
      <c r="V41" s="20" cm="1">
        <f t="array" ref="V41">取角色总属性(V$39)+基础(V$39)*取单角色MOD属性($E41,V$39)</f>
        <v>3388.65048</v>
      </c>
      <c r="W41" s="20" cm="1">
        <f t="array" ref="W41">取角色总属性(W$39)+基础(W$39)*取单角色MOD属性($E41,W$39)</f>
        <v>971.49024</v>
      </c>
      <c r="X41" s="23" cm="1">
        <f t="array" ref="X41">取角色总属性(X$39)+基础(X$39)*取单角色MOD属性($E41,X$39)</f>
        <v>6.37346</v>
      </c>
      <c r="Y41" s="23" cm="1">
        <f t="array" ref="Y41">取角色总属性(Y$39)+基础(Y$39)*取单角色MOD属性($E41,Y$39)</f>
        <v>1.2</v>
      </c>
      <c r="Z41" s="23" cm="1">
        <f t="array" ref="Z41">取角色总属性(Z$39)+基础(Z$39)*取单角色MOD属性($E41,Z$39)</f>
        <v>0</v>
      </c>
      <c r="AA41" s="23" cm="1">
        <f t="array" ref="AA41">取角色总属性(AA$39)+基础(AA$39)*取单角色MOD属性($E41,AA$39)</f>
        <v>1.33594</v>
      </c>
      <c r="AB41" s="23" cm="1">
        <f t="array" ref="AB41">取角色总属性(AB$39)+基础(AB$39)*取单角色MOD属性($E41,AB$39)</f>
        <v>0</v>
      </c>
      <c r="AC41" s="23" cm="1">
        <f t="array" ref="AC41">取角色总属性(AC$39)+基础(AC$39)*取单角色MOD属性($E41,AC$39)</f>
        <v>0.83008</v>
      </c>
      <c r="AD41" s="23" cm="1">
        <f t="array" ref="AD41">取角色总属性(AD$39)+基础(AD$39)*取单角色MOD属性($E41,AD$39)</f>
        <v>2.25</v>
      </c>
      <c r="AE41" s="23" cm="1">
        <f t="array" ref="AE41">取角色总属性(AE$39)+基础(AE$39)*取单角色MOD属性($E41,AE$39)</f>
        <v>0</v>
      </c>
      <c r="AF41" s="23" cm="1">
        <f t="array" ref="AF41">取角色总属性(AF$39)+基础(AF$39)*取单角色MOD属性($E41,AF$39)</f>
        <v>0.24</v>
      </c>
      <c r="AG41" s="23" cm="1">
        <f t="array" ref="AG41">取角色总属性(AG$39)+基础(AG$39)*取单角色MOD属性($E41,AG$39)</f>
        <v>0</v>
      </c>
      <c r="AH41" s="23" cm="1">
        <f t="array" ref="AH41">取角色总属性(AH$39)+基础(AH$39)*取单角色MOD属性($E41,AH$39)</f>
        <v>0</v>
      </c>
      <c r="AV41" t="str">
        <v>锋芒弓</v>
      </c>
      <c r="AW41" t="str">
        <v>领界</v>
      </c>
      <c r="AX41" t="str">
        <v>专注</v>
      </c>
    </row>
    <row r="42" customFormat="1" customHeight="1" spans="4:50">
      <c r="D42" s="76">
        <f t="shared" si="3"/>
        <v>-0.2607435057401</v>
      </c>
      <c r="E42" s="78" t="str">
        <f>VLOOKUP($B$6,$BD$2:$BI$7,ROWS(E$40:E42)+1,0)</f>
        <v>羽翼·永恒</v>
      </c>
      <c r="F42" s="93" t="str">
        <f>IFERROR(VLOOKUP($E42,角色MOD表[],MATCH(F$6,角色MOD表[#Headers],0),0),"")</f>
        <v>契约者</v>
      </c>
      <c r="G42" s="93" t="str">
        <f>IFERROR(VLOOKUP($E42,角色MOD表[],MATCH(G$6,角色MOD表[#Headers],0),0),"")</f>
        <v>金</v>
      </c>
      <c r="H42" s="93" t="str">
        <f>IFERROR(VLOOKUP($E42,角色MOD表[],MATCH(H$6,角色MOD表[#Headers],0),0),"")&amp;""</f>
        <v>O</v>
      </c>
      <c r="I42" s="93">
        <f>IF(AND(K42&lt;&gt;"",H42&lt;&gt;""),ROUNDUP(IF(H42=K42,IFERROR(VLOOKUP($E42,角色MOD表[],6,0)+$J42-IF($G42="金",10,IF($G42="绿",3,5)),0)/2,IFERROR(VLOOKUP($E42,角色MOD表[],6,0)+$J42-IF($G42="金",10,IF($G42="绿",3,5)),0)*1.5),0),IFERROR(VLOOKUP($E42,角色MOD表[],6,0)+$J42-IF($G42="金",10,IF($G42="绿",3,5)),0))</f>
        <v>18</v>
      </c>
      <c r="J42" s="106">
        <v>10</v>
      </c>
      <c r="K42" s="69"/>
      <c r="L42" s="68" t="str" cm="1">
        <f t="array" ref="L42">IFERROR(INDEX(角色MOD表[#Headers],SMALL(_xlfn._xlws.FILTER(COLUMN(_xlfn.DROP(INDEX(角色MOD表[],MATCH($E42,角色MOD表[名称],0),),,MATCH("耐受",角色MOD表[#Headers],0)))*(_xlfn.DROP(INDEX(角色MOD表[],MATCH($E42,角色MOD表[名称],0),),,6)&lt;&gt;""),COLUMN(_xlfn.DROP(INDEX(角色MOD表[],MATCH($E42,角色MOD表[名称],0),),,MATCH("耐受",角色MOD表[#Headers],0)))*(_xlfn.DROP(INDEX(角色MOD表[],MATCH($E42,角色MOD表[名称],0),),,6)&lt;&gt;"")&lt;&gt;0),ROUNDUP(COLUMNS($L42:L42)/2,0))),"")</f>
        <v>耐久</v>
      </c>
      <c r="M42" s="78" cm="1">
        <f t="array" ref="M42">IFERROR(_xlfn.MAP(INDEX(INDEX(角色MOD表[],MATCH($E42,角色MOD表[名称],0),),SMALL(_xlfn._xlws.FILTER(COLUMN(_xlfn.DROP(INDEX(角色MOD表[],MATCH($E42,角色MOD表[名称],0),),,MATCH("耐受",角色MOD表[#Headers],0)))*(_xlfn.DROP(INDEX(角色MOD表[],MATCH($E42,角色MOD表[名称],0),),,MATCH("耐受",角色MOD表[#Headers],0))&lt;&gt;""),COLUMN(_xlfn.DROP(INDEX(角色MOD表[],MATCH($E42,角色MOD表[名称],0),),,MATCH("耐受",角色MOD表[#Headers],0)))*(_xlfn.DROP(INDEX(角色MOD表[],MATCH($E42,角色MOD表[名称],0),),,MATCH("耐受",角色MOD表[#Headers],0))&lt;&gt;"")&lt;&gt;0),ROUNDUP(COLUMNS($L42:L42)/2,0))),_xlfn.LAMBDA(_xlpm.x,IFERROR(IF(ISNUMBER(MATCH($F42,{"百首","狮鹫","契约者"},0)),1+SUM(IFERROR(BUFF层数乘数*VLOOKUP(BUFF,BUFF表[],MATCH("MOD属性",BUFF表[#Headers],0),0),0)),1)*MIN(1,($J42+1)/IF($G42="金",11,IF($G42="绿",4,6)))*_xlpm.x,_xlpm.x))),"")</f>
        <v>0.33594</v>
      </c>
      <c r="N42" s="68" t="str" cm="1">
        <f t="array" ref="N42">IFERROR(INDEX(角色MOD表[#Headers],SMALL(_xlfn._xlws.FILTER(COLUMN(_xlfn.DROP(INDEX(角色MOD表[],MATCH($E42,角色MOD表[名称],0),),,MATCH("耐受",角色MOD表[#Headers],0)))*(_xlfn.DROP(INDEX(角色MOD表[],MATCH($E42,角色MOD表[名称],0),),,6)&lt;&gt;""),COLUMN(_xlfn.DROP(INDEX(角色MOD表[],MATCH($E42,角色MOD表[名称],0),),,MATCH("耐受",角色MOD表[#Headers],0)))*(_xlfn.DROP(INDEX(角色MOD表[],MATCH($E42,角色MOD表[名称],0),),,6)&lt;&gt;"")&lt;&gt;0),ROUNDUP(COLUMNS($L42:N42)/2,0))),"")</f>
        <v>神智</v>
      </c>
      <c r="O42" s="78" cm="1">
        <f t="array" ref="O42">IFERROR(_xlfn.MAP(INDEX(INDEX(角色MOD表[],MATCH($E42,角色MOD表[名称],0),),SMALL(_xlfn._xlws.FILTER(COLUMN(_xlfn.DROP(INDEX(角色MOD表[],MATCH($E42,角色MOD表[名称],0),),,MATCH("耐受",角色MOD表[#Headers],0)))*(_xlfn.DROP(INDEX(角色MOD表[],MATCH($E42,角色MOD表[名称],0),),,MATCH("耐受",角色MOD表[#Headers],0))&lt;&gt;""),COLUMN(_xlfn.DROP(INDEX(角色MOD表[],MATCH($E42,角色MOD表[名称],0),),,MATCH("耐受",角色MOD表[#Headers],0)))*(_xlfn.DROP(INDEX(角色MOD表[],MATCH($E42,角色MOD表[名称],0),),,MATCH("耐受",角色MOD表[#Headers],0))&lt;&gt;"")&lt;&gt;0),ROUNDUP(COLUMNS($L42:N42)/2,0))),_xlfn.LAMBDA(_xlpm.x,IFERROR(IF(ISNUMBER(MATCH($F42,{"百首","狮鹫","契约者"},0)),1+SUM(IFERROR(BUFF层数乘数*VLOOKUP(BUFF,BUFF表[],MATCH("MOD属性",BUFF表[#Headers],0),0),0)),1)*MIN(1,($J42+1)/IF($G42="金",11,IF($G42="绿",4,6)))*_xlpm.x,_xlpm.x))),"")</f>
        <v>0.44792</v>
      </c>
      <c r="P42" s="68" t="str" cm="1">
        <f t="array" ref="P42">IFERROR(INDEX(角色MOD表[#Headers],SMALL(_xlfn._xlws.FILTER(COLUMN(_xlfn.DROP(INDEX(角色MOD表[],MATCH($E42,角色MOD表[名称],0),),,MATCH("耐受",角色MOD表[#Headers],0)))*(_xlfn.DROP(INDEX(角色MOD表[],MATCH($E42,角色MOD表[名称],0),),,6)&lt;&gt;""),COLUMN(_xlfn.DROP(INDEX(角色MOD表[],MATCH($E42,角色MOD表[名称],0),),,MATCH("耐受",角色MOD表[#Headers],0)))*(_xlfn.DROP(INDEX(角色MOD表[],MATCH($E42,角色MOD表[名称],0),),,6)&lt;&gt;"")&lt;&gt;0),ROUNDUP(COLUMNS($L42:P42)/2,0))),"")</f>
        <v/>
      </c>
      <c r="Q42" s="78" t="str" cm="1">
        <f t="array" ref="Q42">IFERROR(_xlfn.MAP(INDEX(INDEX(角色MOD表[],MATCH($E42,角色MOD表[名称],0),),SMALL(_xlfn._xlws.FILTER(COLUMN(_xlfn.DROP(INDEX(角色MOD表[],MATCH($E42,角色MOD表[名称],0),),,MATCH("耐受",角色MOD表[#Headers],0)))*(_xlfn.DROP(INDEX(角色MOD表[],MATCH($E42,角色MOD表[名称],0),),,MATCH("耐受",角色MOD表[#Headers],0))&lt;&gt;""),COLUMN(_xlfn.DROP(INDEX(角色MOD表[],MATCH($E42,角色MOD表[名称],0),),,MATCH("耐受",角色MOD表[#Headers],0)))*(_xlfn.DROP(INDEX(角色MOD表[],MATCH($E42,角色MOD表[名称],0),),,MATCH("耐受",角色MOD表[#Headers],0))&lt;&gt;"")&lt;&gt;0),ROUNDUP(COLUMNS($L42:P42)/2,0))),_xlfn.LAMBDA(_xlpm.x,IFERROR(IF(ISNUMBER(MATCH($F42,{"百首","狮鹫","契约者"},0)),1+SUM(IFERROR(BUFF层数乘数*VLOOKUP(BUFF,BUFF表[],MATCH("MOD属性",BUFF表[#Headers],0),0),0)),1)*MIN(1,($J42+1)/IF($G42="金",11,IF($G42="绿",4,6)))*_xlpm.x,_xlpm.x))),"")</f>
        <v/>
      </c>
      <c r="R42" s="68" t="str" cm="1">
        <f t="array" ref="R42">IFERROR(INDEX(角色MOD表[#Headers],SMALL(_xlfn._xlws.FILTER(COLUMN(_xlfn.DROP(INDEX(角色MOD表[],MATCH($E42,角色MOD表[名称],0),),,MATCH("耐受",角色MOD表[#Headers],0)))*(_xlfn.DROP(INDEX(角色MOD表[],MATCH($E42,角色MOD表[名称],0),),,6)&lt;&gt;""),COLUMN(_xlfn.DROP(INDEX(角色MOD表[],MATCH($E42,角色MOD表[名称],0),),,MATCH("耐受",角色MOD表[#Headers],0)))*(_xlfn.DROP(INDEX(角色MOD表[],MATCH($E42,角色MOD表[名称],0),),,6)&lt;&gt;"")&lt;&gt;0),ROUNDUP(COLUMNS($L42:R42)/2,0))),"")</f>
        <v/>
      </c>
      <c r="S42" s="78" t="str" cm="1">
        <f t="array" ref="S42">IFERROR(_xlfn.MAP(INDEX(INDEX(角色MOD表[],MATCH($E42,角色MOD表[名称],0),),SMALL(_xlfn._xlws.FILTER(COLUMN(_xlfn.DROP(INDEX(角色MOD表[],MATCH($E42,角色MOD表[名称],0),),,MATCH("耐受",角色MOD表[#Headers],0)))*(_xlfn.DROP(INDEX(角色MOD表[],MATCH($E42,角色MOD表[名称],0),),,MATCH("耐受",角色MOD表[#Headers],0))&lt;&gt;""),COLUMN(_xlfn.DROP(INDEX(角色MOD表[],MATCH($E42,角色MOD表[名称],0),),,MATCH("耐受",角色MOD表[#Headers],0)))*(_xlfn.DROP(INDEX(角色MOD表[],MATCH($E42,角色MOD表[名称],0),),,MATCH("耐受",角色MOD表[#Headers],0))&lt;&gt;"")&lt;&gt;0),ROUNDUP(COLUMNS($L42:R42)/2,0))),_xlfn.LAMBDA(_xlpm.x,IFERROR(IF(ISNUMBER(MATCH($F42,{"百首","狮鹫","契约者"},0)),1+SUM(IFERROR(BUFF层数乘数*VLOOKUP(BUFF,BUFF表[],MATCH("MOD属性",BUFF表[#Headers],0),0),0)),1)*MIN(1,($J42+1)/IF($G42="金",11,IF($G42="绿",4,6)))*_xlpm.x,_xlpm.x))),"")</f>
        <v/>
      </c>
      <c r="T42" s="20" cm="1">
        <f t="array" ref="T42">X42*SUM(B$24*U42,B$26*V42,B$25*W42,B$27)*昂扬背水乘区(AB42,AC42)*SUM(1,AD42,AE42)*(1-敌方抗性+AF42)*(1+AG42)/IF($A$39="DPMP",ROUNDUP($B$30*(2-Z42),0),1)/IF($A$39="DPSMP",ROUNDUP($B$31*MAX(0.25,(2-Z42)/Y42),0),1)*防御乘区(AH42)</f>
        <v>653173.62663108</v>
      </c>
      <c r="U42" s="20" cm="1">
        <f t="array" ref="U42">(取角色总属性(U$39)+基础(U$39)*取单角色MOD属性($E42,U$39))*(1+取角色总属性("属性伤")+取单角色MOD属性($E42,"属性伤"))</f>
        <v>6096.68763763837</v>
      </c>
      <c r="V42" s="20" cm="1">
        <f t="array" ref="V42">取角色总属性(V$39)+基础(V$39)*取单角色MOD属性($E42,V$39)</f>
        <v>3388.65048</v>
      </c>
      <c r="W42" s="20" cm="1">
        <f t="array" ref="W42">取角色总属性(W$39)+基础(W$39)*取单角色MOD属性($E42,W$39)</f>
        <v>971.49024</v>
      </c>
      <c r="X42" s="23" cm="1">
        <f t="array" ref="X42">取角色总属性(X$39)+基础(X$39)*取单角色MOD属性($E42,X$39)</f>
        <v>5.92554</v>
      </c>
      <c r="Y42" s="23" cm="1">
        <f t="array" ref="Y42">取角色总属性(Y$39)+基础(Y$39)*取单角色MOD属性($E42,Y$39)</f>
        <v>1.53594</v>
      </c>
      <c r="Z42" s="23" cm="1">
        <f t="array" ref="Z42">取角色总属性(Z$39)+基础(Z$39)*取单角色MOD属性($E42,Z$39)</f>
        <v>0</v>
      </c>
      <c r="AA42" s="23" cm="1">
        <f t="array" ref="AA42">取角色总属性(AA$39)+基础(AA$39)*取单角色MOD属性($E42,AA$39)</f>
        <v>1.33594</v>
      </c>
      <c r="AB42" s="23" cm="1">
        <f t="array" ref="AB42">取角色总属性(AB$39)+基础(AB$39)*取单角色MOD属性($E42,AB$39)</f>
        <v>0</v>
      </c>
      <c r="AC42" s="23" cm="1">
        <f t="array" ref="AC42">取角色总属性(AC$39)+基础(AC$39)*取单角色MOD属性($E42,AC$39)</f>
        <v>0.83008</v>
      </c>
      <c r="AD42" s="23" cm="1">
        <f t="array" ref="AD42">取角色总属性(AD$39)+基础(AD$39)*取单角色MOD属性($E42,AD$39)</f>
        <v>2.25</v>
      </c>
      <c r="AE42" s="23" cm="1">
        <f t="array" ref="AE42">取角色总属性(AE$39)+基础(AE$39)*取单角色MOD属性($E42,AE$39)</f>
        <v>0</v>
      </c>
      <c r="AF42" s="23" cm="1">
        <f t="array" ref="AF42">取角色总属性(AF$39)+基础(AF$39)*取单角色MOD属性($E42,AF$39)</f>
        <v>0.24</v>
      </c>
      <c r="AG42" s="23" cm="1">
        <f t="array" ref="AG42">取角色总属性(AG$39)+基础(AG$39)*取单角色MOD属性($E42,AG$39)</f>
        <v>0</v>
      </c>
      <c r="AH42" s="23" cm="1">
        <f t="array" ref="AH42">取角色总属性(AH$39)+基础(AH$39)*取单角色MOD属性($E42,AH$39)</f>
        <v>0</v>
      </c>
      <c r="AV42" t="str">
        <v>决断</v>
      </c>
      <c r="AW42" t="str">
        <v>锋锐</v>
      </c>
      <c r="AX42" t="str">
        <v>盛怒</v>
      </c>
    </row>
    <row r="43" customFormat="1" customHeight="1" spans="1:50">
      <c r="A43" s="81" t="s">
        <v>126</v>
      </c>
      <c r="B43" s="81"/>
      <c r="D43" s="76">
        <f t="shared" si="3"/>
        <v>-0.156442763149343</v>
      </c>
      <c r="E43" s="78" t="str">
        <f>VLOOKUP($B$6,$BD$2:$BI$7,ROWS(E$40:E43)+1,0)</f>
        <v>炽灼·背水</v>
      </c>
      <c r="F43" s="93" t="str">
        <f>IFERROR(VLOOKUP($E43,角色MOD表[],MATCH(F$6,角色MOD表[#Headers],0),0),"")</f>
        <v>契约者</v>
      </c>
      <c r="G43" s="93" t="str">
        <f>IFERROR(VLOOKUP($E43,角色MOD表[],MATCH(G$6,角色MOD表[#Headers],0),0),"")</f>
        <v>金</v>
      </c>
      <c r="H43" s="93" t="str">
        <f>IFERROR(VLOOKUP($E43,角色MOD表[],MATCH(H$6,角色MOD表[#Headers],0),0),"")&amp;""</f>
        <v>D</v>
      </c>
      <c r="I43" s="93">
        <f>IF(AND(K43&lt;&gt;"",H43&lt;&gt;""),ROUNDUP(IF(H43=K43,IFERROR(VLOOKUP($E43,角色MOD表[],6,0)+$J43-IF($G43="金",10,IF($G43="绿",3,5)),0)/2,IFERROR(VLOOKUP($E43,角色MOD表[],6,0)+$J43-IF($G43="金",10,IF($G43="绿",3,5)),0)*1.5),0),IFERROR(VLOOKUP($E43,角色MOD表[],6,0)+$J43-IF($G43="金",10,IF($G43="绿",3,5)),0))</f>
        <v>17</v>
      </c>
      <c r="J43" s="106">
        <v>10</v>
      </c>
      <c r="K43" s="69"/>
      <c r="L43" s="68" t="str" cm="1">
        <f t="array" ref="L43">IFERROR(INDEX(角色MOD表[#Headers],SMALL(_xlfn._xlws.FILTER(COLUMN(_xlfn.DROP(INDEX(角色MOD表[],MATCH($E43,角色MOD表[名称],0),),,MATCH("耐受",角色MOD表[#Headers],0)))*(_xlfn.DROP(INDEX(角色MOD表[],MATCH($E43,角色MOD表[名称],0),),,6)&lt;&gt;""),COLUMN(_xlfn.DROP(INDEX(角色MOD表[],MATCH($E43,角色MOD表[名称],0),),,MATCH("耐受",角色MOD表[#Headers],0)))*(_xlfn.DROP(INDEX(角色MOD表[],MATCH($E43,角色MOD表[名称],0),),,6)&lt;&gt;"")&lt;&gt;0),ROUNDUP(COLUMNS($L43:L43)/2,0))),"")</f>
        <v>攻击</v>
      </c>
      <c r="M43" s="78" cm="1">
        <f t="array" ref="M43">IFERROR(_xlfn.MAP(INDEX(INDEX(角色MOD表[],MATCH($E43,角色MOD表[名称],0),),SMALL(_xlfn._xlws.FILTER(COLUMN(_xlfn.DROP(INDEX(角色MOD表[],MATCH($E43,角色MOD表[名称],0),),,MATCH("耐受",角色MOD表[#Headers],0)))*(_xlfn.DROP(INDEX(角色MOD表[],MATCH($E43,角色MOD表[名称],0),),,MATCH("耐受",角色MOD表[#Headers],0))&lt;&gt;""),COLUMN(_xlfn.DROP(INDEX(角色MOD表[],MATCH($E43,角色MOD表[名称],0),),,MATCH("耐受",角色MOD表[#Headers],0)))*(_xlfn.DROP(INDEX(角色MOD表[],MATCH($E43,角色MOD表[名称],0),),,MATCH("耐受",角色MOD表[#Headers],0))&lt;&gt;"")&lt;&gt;0),ROUNDUP(COLUMNS($L43:L43)/2,0))),_xlfn.LAMBDA(_xlpm.x,IFERROR(IF(ISNUMBER(MATCH($F43,{"百首","狮鹫","契约者"},0)),1+SUM(IFERROR(BUFF层数乘数*VLOOKUP(BUFF,BUFF表[],MATCH("MOD属性",BUFF表[#Headers],0),0),0)),1)*MIN(1,($J43+1)/IF($G43="金",11,IF($G43="绿",4,6)))*_xlpm.x,_xlpm.x))),"")</f>
        <v>0.89584</v>
      </c>
      <c r="N43" s="68" t="str" cm="1">
        <f t="array" ref="N43">IFERROR(INDEX(角色MOD表[#Headers],SMALL(_xlfn._xlws.FILTER(COLUMN(_xlfn.DROP(INDEX(角色MOD表[],MATCH($E43,角色MOD表[名称],0),),,MATCH("耐受",角色MOD表[#Headers],0)))*(_xlfn.DROP(INDEX(角色MOD表[],MATCH($E43,角色MOD表[名称],0),),,6)&lt;&gt;""),COLUMN(_xlfn.DROP(INDEX(角色MOD表[],MATCH($E43,角色MOD表[名称],0),),,MATCH("耐受",角色MOD表[#Headers],0)))*(_xlfn.DROP(INDEX(角色MOD表[],MATCH($E43,角色MOD表[名称],0),),,6)&lt;&gt;"")&lt;&gt;0),ROUNDUP(COLUMNS($L43:N43)/2,0))),"")</f>
        <v>背水</v>
      </c>
      <c r="O43" s="78" cm="1">
        <f t="array" ref="O43">IFERROR(_xlfn.MAP(INDEX(INDEX(角色MOD表[],MATCH($E43,角色MOD表[名称],0),),SMALL(_xlfn._xlws.FILTER(COLUMN(_xlfn.DROP(INDEX(角色MOD表[],MATCH($E43,角色MOD表[名称],0),),,MATCH("耐受",角色MOD表[#Headers],0)))*(_xlfn.DROP(INDEX(角色MOD表[],MATCH($E43,角色MOD表[名称],0),),,MATCH("耐受",角色MOD表[#Headers],0))&lt;&gt;""),COLUMN(_xlfn.DROP(INDEX(角色MOD表[],MATCH($E43,角色MOD表[名称],0),),,MATCH("耐受",角色MOD表[#Headers],0)))*(_xlfn.DROP(INDEX(角色MOD表[],MATCH($E43,角色MOD表[名称],0),),,MATCH("耐受",角色MOD表[#Headers],0))&lt;&gt;"")&lt;&gt;0),ROUNDUP(COLUMNS($L43:N43)/2,0))),_xlfn.LAMBDA(_xlpm.x,IFERROR(IF(ISNUMBER(MATCH($F43,{"百首","狮鹫","契约者"},0)),1+SUM(IFERROR(BUFF层数乘数*VLOOKUP(BUFF,BUFF表[],MATCH("MOD属性",BUFF表[#Headers],0),0),0)),1)*MIN(1,($J43+1)/IF($G43="金",11,IF($G43="绿",4,6)))*_xlpm.x,_xlpm.x))),"")</f>
        <v>0.07126</v>
      </c>
      <c r="P43" s="68" t="str" cm="1">
        <f t="array" ref="P43">IFERROR(INDEX(角色MOD表[#Headers],SMALL(_xlfn._xlws.FILTER(COLUMN(_xlfn.DROP(INDEX(角色MOD表[],MATCH($E43,角色MOD表[名称],0),),,MATCH("耐受",角色MOD表[#Headers],0)))*(_xlfn.DROP(INDEX(角色MOD表[],MATCH($E43,角色MOD表[名称],0),),,6)&lt;&gt;""),COLUMN(_xlfn.DROP(INDEX(角色MOD表[],MATCH($E43,角色MOD表[名称],0),),,MATCH("耐受",角色MOD表[#Headers],0)))*(_xlfn.DROP(INDEX(角色MOD表[],MATCH($E43,角色MOD表[名称],0),),,6)&lt;&gt;"")&lt;&gt;0),ROUNDUP(COLUMNS($L43:P43)/2,0))),"")</f>
        <v/>
      </c>
      <c r="Q43" s="78" t="str" cm="1">
        <f t="array" ref="Q43">IFERROR(_xlfn.MAP(INDEX(INDEX(角色MOD表[],MATCH($E43,角色MOD表[名称],0),),SMALL(_xlfn._xlws.FILTER(COLUMN(_xlfn.DROP(INDEX(角色MOD表[],MATCH($E43,角色MOD表[名称],0),),,MATCH("耐受",角色MOD表[#Headers],0)))*(_xlfn.DROP(INDEX(角色MOD表[],MATCH($E43,角色MOD表[名称],0),),,MATCH("耐受",角色MOD表[#Headers],0))&lt;&gt;""),COLUMN(_xlfn.DROP(INDEX(角色MOD表[],MATCH($E43,角色MOD表[名称],0),),,MATCH("耐受",角色MOD表[#Headers],0)))*(_xlfn.DROP(INDEX(角色MOD表[],MATCH($E43,角色MOD表[名称],0),),,MATCH("耐受",角色MOD表[#Headers],0))&lt;&gt;"")&lt;&gt;0),ROUNDUP(COLUMNS($L43:P43)/2,0))),_xlfn.LAMBDA(_xlpm.x,IFERROR(IF(ISNUMBER(MATCH($F43,{"百首","狮鹫","契约者"},0)),1+SUM(IFERROR(BUFF层数乘数*VLOOKUP(BUFF,BUFF表[],MATCH("MOD属性",BUFF表[#Headers],0),0),0)),1)*MIN(1,($J43+1)/IF($G43="金",11,IF($G43="绿",4,6)))*_xlpm.x,_xlpm.x))),"")</f>
        <v/>
      </c>
      <c r="R43" s="68" t="str" cm="1">
        <f t="array" ref="R43">IFERROR(INDEX(角色MOD表[#Headers],SMALL(_xlfn._xlws.FILTER(COLUMN(_xlfn.DROP(INDEX(角色MOD表[],MATCH($E43,角色MOD表[名称],0),),,MATCH("耐受",角色MOD表[#Headers],0)))*(_xlfn.DROP(INDEX(角色MOD表[],MATCH($E43,角色MOD表[名称],0),),,6)&lt;&gt;""),COLUMN(_xlfn.DROP(INDEX(角色MOD表[],MATCH($E43,角色MOD表[名称],0),),,MATCH("耐受",角色MOD表[#Headers],0)))*(_xlfn.DROP(INDEX(角色MOD表[],MATCH($E43,角色MOD表[名称],0),),,6)&lt;&gt;"")&lt;&gt;0),ROUNDUP(COLUMNS($L43:R43)/2,0))),"")</f>
        <v/>
      </c>
      <c r="S43" s="78" t="str" cm="1">
        <f t="array" ref="S43">IFERROR(_xlfn.MAP(INDEX(INDEX(角色MOD表[],MATCH($E43,角色MOD表[名称],0),),SMALL(_xlfn._xlws.FILTER(COLUMN(_xlfn.DROP(INDEX(角色MOD表[],MATCH($E43,角色MOD表[名称],0),),,MATCH("耐受",角色MOD表[#Headers],0)))*(_xlfn.DROP(INDEX(角色MOD表[],MATCH($E43,角色MOD表[名称],0),),,MATCH("耐受",角色MOD表[#Headers],0))&lt;&gt;""),COLUMN(_xlfn.DROP(INDEX(角色MOD表[],MATCH($E43,角色MOD表[名称],0),),,MATCH("耐受",角色MOD表[#Headers],0)))*(_xlfn.DROP(INDEX(角色MOD表[],MATCH($E43,角色MOD表[名称],0),),,MATCH("耐受",角色MOD表[#Headers],0))&lt;&gt;"")&lt;&gt;0),ROUNDUP(COLUMNS($L43:R43)/2,0))),_xlfn.LAMBDA(_xlpm.x,IFERROR(IF(ISNUMBER(MATCH($F43,{"百首","狮鹫","契约者"},0)),1+SUM(IFERROR(BUFF层数乘数*VLOOKUP(BUFF,BUFF表[],MATCH("MOD属性",BUFF表[#Headers],0),0),0)),1)*MIN(1,($J43+1)/IF($G43="金",11,IF($G43="绿",4,6)))*_xlpm.x,_xlpm.x))),"")</f>
        <v/>
      </c>
      <c r="T43" s="20" cm="1">
        <f t="array" ref="T43">X43*SUM(B$24*U43,B$26*V43,B$25*W43,B$27)*昂扬背水乘区(AB43,AC43)*SUM(1,AD43,AE43)*(1-敌方抗性+AF43)*(1+AG43)/IF($A$39="DPMP",ROUNDUP($B$30*(2-Z43),0),1)/IF($A$39="DPSMP",ROUNDUP($B$31*MAX(0.25,(2-Z43)/Y43),0),1)*防御乘区(AH43)</f>
        <v>745329.048771164</v>
      </c>
      <c r="U43" s="20" cm="1">
        <f t="array" ref="U43">(取角色总属性(U$39)+基础(U$39)*取单角色MOD属性($E43,U$39))*(1+取角色总属性("属性伤")+取单角色MOD属性($E43,"属性伤"))</f>
        <v>6532.42381266038</v>
      </c>
      <c r="V43" s="20" cm="1">
        <f t="array" ref="V43">取角色总属性(V$39)+基础(V$39)*取单角色MOD属性($E43,V$39)</f>
        <v>3388.65048</v>
      </c>
      <c r="W43" s="20" cm="1">
        <f t="array" ref="W43">取角色总属性(W$39)+基础(W$39)*取单角色MOD属性($E43,W$39)</f>
        <v>971.49024</v>
      </c>
      <c r="X43" s="23" cm="1">
        <f t="array" ref="X43">取角色总属性(X$39)+基础(X$39)*取单角色MOD属性($E43,X$39)</f>
        <v>5.92554</v>
      </c>
      <c r="Y43" s="23" cm="1">
        <f t="array" ref="Y43">取角色总属性(Y$39)+基础(Y$39)*取单角色MOD属性($E43,Y$39)</f>
        <v>1.2</v>
      </c>
      <c r="Z43" s="23" cm="1">
        <f t="array" ref="Z43">取角色总属性(Z$39)+基础(Z$39)*取单角色MOD属性($E43,Z$39)</f>
        <v>0</v>
      </c>
      <c r="AA43" s="23" cm="1">
        <f t="array" ref="AA43">取角色总属性(AA$39)+基础(AA$39)*取单角色MOD属性($E43,AA$39)</f>
        <v>1.33594</v>
      </c>
      <c r="AB43" s="23" cm="1">
        <f t="array" ref="AB43">取角色总属性(AB$39)+基础(AB$39)*取单角色MOD属性($E43,AB$39)</f>
        <v>0</v>
      </c>
      <c r="AC43" s="23" cm="1">
        <f t="array" ref="AC43">取角色总属性(AC$39)+基础(AC$39)*取单角色MOD属性($E43,AC$39)</f>
        <v>0.90134</v>
      </c>
      <c r="AD43" s="23" cm="1">
        <f t="array" ref="AD43">取角色总属性(AD$39)+基础(AD$39)*取单角色MOD属性($E43,AD$39)</f>
        <v>2.25</v>
      </c>
      <c r="AE43" s="23" cm="1">
        <f t="array" ref="AE43">取角色总属性(AE$39)+基础(AE$39)*取单角色MOD属性($E43,AE$39)</f>
        <v>0</v>
      </c>
      <c r="AF43" s="23" cm="1">
        <f t="array" ref="AF43">取角色总属性(AF$39)+基础(AF$39)*取单角色MOD属性($E43,AF$39)</f>
        <v>0.24</v>
      </c>
      <c r="AG43" s="23" cm="1">
        <f t="array" ref="AG43">取角色总属性(AG$39)+基础(AG$39)*取单角色MOD属性($E43,AG$39)</f>
        <v>0</v>
      </c>
      <c r="AH43" s="23" cm="1">
        <f t="array" ref="AH43">取角色总属性(AH$39)+基础(AH$39)*取单角色MOD属性($E43,AH$39)</f>
        <v>0</v>
      </c>
      <c r="AV43" t="str">
        <v>鼓舞</v>
      </c>
      <c r="AW43" t="str">
        <v>透析</v>
      </c>
      <c r="AX43" t="str">
        <v>缠缚</v>
      </c>
    </row>
    <row r="44" customFormat="1" customHeight="1" spans="1:50">
      <c r="A44" s="122" t="s">
        <v>127</v>
      </c>
      <c r="B44" s="123">
        <v>2</v>
      </c>
      <c r="D44" s="76">
        <f t="shared" si="3"/>
        <v>-0.207908127529094</v>
      </c>
      <c r="E44" s="78" t="str">
        <f>VLOOKUP($B$6,$BD$2:$BI$7,ROWS(E$40:E44)+1,0)</f>
        <v>炽灼·坚守</v>
      </c>
      <c r="F44" s="93" t="str">
        <f>IFERROR(VLOOKUP($E44,角色MOD表[],MATCH(F$6,角色MOD表[#Headers],0),0),"")</f>
        <v>契约者</v>
      </c>
      <c r="G44" s="93" t="str">
        <f>IFERROR(VLOOKUP($E44,角色MOD表[],MATCH(G$6,角色MOD表[#Headers],0),0),"")</f>
        <v>金</v>
      </c>
      <c r="H44" s="93" t="str">
        <f>IFERROR(VLOOKUP($E44,角色MOD表[],MATCH(H$6,角色MOD表[#Headers],0),0),"")&amp;""</f>
        <v>A</v>
      </c>
      <c r="I44" s="93">
        <f>IF(AND(K44&lt;&gt;"",H44&lt;&gt;""),ROUNDUP(IF(H44=K44,IFERROR(VLOOKUP($E44,角色MOD表[],6,0)+$J44-IF($G44="金",10,IF($G44="绿",3,5)),0)/2,IFERROR(VLOOKUP($E44,角色MOD表[],6,0)+$J44-IF($G44="金",10,IF($G44="绿",3,5)),0)*1.5),0),IFERROR(VLOOKUP($E44,角色MOD表[],6,0)+$J44-IF($G44="金",10,IF($G44="绿",3,5)),0))</f>
        <v>18</v>
      </c>
      <c r="J44" s="106">
        <v>10</v>
      </c>
      <c r="K44" s="69"/>
      <c r="L44" s="68" t="str" cm="1">
        <f t="array" ref="L44">IFERROR(INDEX(角色MOD表[#Headers],SMALL(_xlfn._xlws.FILTER(COLUMN(_xlfn.DROP(INDEX(角色MOD表[],MATCH($E44,角色MOD表[名称],0),),,MATCH("耐受",角色MOD表[#Headers],0)))*(_xlfn.DROP(INDEX(角色MOD表[],MATCH($E44,角色MOD表[名称],0),),,6)&lt;&gt;""),COLUMN(_xlfn.DROP(INDEX(角色MOD表[],MATCH($E44,角色MOD表[名称],0),),,MATCH("耐受",角色MOD表[#Headers],0)))*(_xlfn.DROP(INDEX(角色MOD表[],MATCH($E44,角色MOD表[名称],0),),,6)&lt;&gt;"")&lt;&gt;0),ROUNDUP(COLUMNS($L44:L44)/2,0))),"")</f>
        <v>攻击</v>
      </c>
      <c r="M44" s="78" cm="1">
        <f t="array" ref="M44">IFERROR(_xlfn.MAP(INDEX(INDEX(角色MOD表[],MATCH($E44,角色MOD表[名称],0),),SMALL(_xlfn._xlws.FILTER(COLUMN(_xlfn.DROP(INDEX(角色MOD表[],MATCH($E44,角色MOD表[名称],0),),,MATCH("耐受",角色MOD表[#Headers],0)))*(_xlfn.DROP(INDEX(角色MOD表[],MATCH($E44,角色MOD表[名称],0),),,MATCH("耐受",角色MOD表[#Headers],0))&lt;&gt;""),COLUMN(_xlfn.DROP(INDEX(角色MOD表[],MATCH($E44,角色MOD表[名称],0),),,MATCH("耐受",角色MOD表[#Headers],0)))*(_xlfn.DROP(INDEX(角色MOD表[],MATCH($E44,角色MOD表[名称],0),),,MATCH("耐受",角色MOD表[#Headers],0))&lt;&gt;"")&lt;&gt;0),ROUNDUP(COLUMNS($L44:L44)/2,0))),_xlfn.LAMBDA(_xlpm.x,IFERROR(IF(ISNUMBER(MATCH($F44,{"百首","狮鹫","契约者"},0)),1+SUM(IFERROR(BUFF层数乘数*VLOOKUP(BUFF,BUFF表[],MATCH("MOD属性",BUFF表[#Headers],0),0),0)),1)*MIN(1,($J44+1)/IF($G44="金",11,IF($G44="绿",4,6)))*_xlpm.x,_xlpm.x))),"")</f>
        <v>0.89584</v>
      </c>
      <c r="N44" s="68" t="str" cm="1">
        <f t="array" ref="N44">IFERROR(INDEX(角色MOD表[#Headers],SMALL(_xlfn._xlws.FILTER(COLUMN(_xlfn.DROP(INDEX(角色MOD表[],MATCH($E44,角色MOD表[名称],0),),,MATCH("耐受",角色MOD表[#Headers],0)))*(_xlfn.DROP(INDEX(角色MOD表[],MATCH($E44,角色MOD表[名称],0),),,6)&lt;&gt;""),COLUMN(_xlfn.DROP(INDEX(角色MOD表[],MATCH($E44,角色MOD表[名称],0),),,MATCH("耐受",角色MOD表[#Headers],0)))*(_xlfn.DROP(INDEX(角色MOD表[],MATCH($E44,角色MOD表[名称],0),),,6)&lt;&gt;"")&lt;&gt;0),ROUNDUP(COLUMNS($L44:N44)/2,0))),"")</f>
        <v>防御</v>
      </c>
      <c r="O44" s="78" cm="1">
        <f t="array" ref="O44">IFERROR(_xlfn.MAP(INDEX(INDEX(角色MOD表[],MATCH($E44,角色MOD表[名称],0),),SMALL(_xlfn._xlws.FILTER(COLUMN(_xlfn.DROP(INDEX(角色MOD表[],MATCH($E44,角色MOD表[名称],0),),,MATCH("耐受",角色MOD表[#Headers],0)))*(_xlfn.DROP(INDEX(角色MOD表[],MATCH($E44,角色MOD表[名称],0),),,MATCH("耐受",角色MOD表[#Headers],0))&lt;&gt;""),COLUMN(_xlfn.DROP(INDEX(角色MOD表[],MATCH($E44,角色MOD表[名称],0),),,MATCH("耐受",角色MOD表[#Headers],0)))*(_xlfn.DROP(INDEX(角色MOD表[],MATCH($E44,角色MOD表[名称],0),),,MATCH("耐受",角色MOD表[#Headers],0))&lt;&gt;"")&lt;&gt;0),ROUNDUP(COLUMNS($L44:N44)/2,0))),_xlfn.LAMBDA(_xlpm.x,IFERROR(IF(ISNUMBER(MATCH($F44,{"百首","狮鹫","契约者"},0)),1+SUM(IFERROR(BUFF层数乘数*VLOOKUP(BUFF,BUFF表[],MATCH("MOD属性",BUFF表[#Headers],0),0),0)),1)*MIN(1,($J44+1)/IF($G44="金",11,IF($G44="绿",4,6)))*_xlpm.x,_xlpm.x))),"")</f>
        <v>0.89584</v>
      </c>
      <c r="P44" s="68" t="str" cm="1">
        <f t="array" ref="P44">IFERROR(INDEX(角色MOD表[#Headers],SMALL(_xlfn._xlws.FILTER(COLUMN(_xlfn.DROP(INDEX(角色MOD表[],MATCH($E44,角色MOD表[名称],0),),,MATCH("耐受",角色MOD表[#Headers],0)))*(_xlfn.DROP(INDEX(角色MOD表[],MATCH($E44,角色MOD表[名称],0),),,6)&lt;&gt;""),COLUMN(_xlfn.DROP(INDEX(角色MOD表[],MATCH($E44,角色MOD表[名称],0),),,MATCH("耐受",角色MOD表[#Headers],0)))*(_xlfn.DROP(INDEX(角色MOD表[],MATCH($E44,角色MOD表[名称],0),),,6)&lt;&gt;"")&lt;&gt;0),ROUNDUP(COLUMNS($L44:P44)/2,0))),"")</f>
        <v/>
      </c>
      <c r="Q44" s="78" t="str" cm="1">
        <f t="array" ref="Q44">IFERROR(_xlfn.MAP(INDEX(INDEX(角色MOD表[],MATCH($E44,角色MOD表[名称],0),),SMALL(_xlfn._xlws.FILTER(COLUMN(_xlfn.DROP(INDEX(角色MOD表[],MATCH($E44,角色MOD表[名称],0),),,MATCH("耐受",角色MOD表[#Headers],0)))*(_xlfn.DROP(INDEX(角色MOD表[],MATCH($E44,角色MOD表[名称],0),),,MATCH("耐受",角色MOD表[#Headers],0))&lt;&gt;""),COLUMN(_xlfn.DROP(INDEX(角色MOD表[],MATCH($E44,角色MOD表[名称],0),),,MATCH("耐受",角色MOD表[#Headers],0)))*(_xlfn.DROP(INDEX(角色MOD表[],MATCH($E44,角色MOD表[名称],0),),,MATCH("耐受",角色MOD表[#Headers],0))&lt;&gt;"")&lt;&gt;0),ROUNDUP(COLUMNS($L44:P44)/2,0))),_xlfn.LAMBDA(_xlpm.x,IFERROR(IF(ISNUMBER(MATCH($F44,{"百首","狮鹫","契约者"},0)),1+SUM(IFERROR(BUFF层数乘数*VLOOKUP(BUFF,BUFF表[],MATCH("MOD属性",BUFF表[#Headers],0),0),0)),1)*MIN(1,($J44+1)/IF($G44="金",11,IF($G44="绿",4,6)))*_xlpm.x,_xlpm.x))),"")</f>
        <v/>
      </c>
      <c r="R44" s="68" t="str" cm="1">
        <f t="array" ref="R44">IFERROR(INDEX(角色MOD表[#Headers],SMALL(_xlfn._xlws.FILTER(COLUMN(_xlfn.DROP(INDEX(角色MOD表[],MATCH($E44,角色MOD表[名称],0),),,MATCH("耐受",角色MOD表[#Headers],0)))*(_xlfn.DROP(INDEX(角色MOD表[],MATCH($E44,角色MOD表[名称],0),),,6)&lt;&gt;""),COLUMN(_xlfn.DROP(INDEX(角色MOD表[],MATCH($E44,角色MOD表[名称],0),),,MATCH("耐受",角色MOD表[#Headers],0)))*(_xlfn.DROP(INDEX(角色MOD表[],MATCH($E44,角色MOD表[名称],0),),,6)&lt;&gt;"")&lt;&gt;0),ROUNDUP(COLUMNS($L44:R44)/2,0))),"")</f>
        <v/>
      </c>
      <c r="S44" s="78" t="str" cm="1">
        <f t="array" ref="S44">IFERROR(_xlfn.MAP(INDEX(INDEX(角色MOD表[],MATCH($E44,角色MOD表[名称],0),),SMALL(_xlfn._xlws.FILTER(COLUMN(_xlfn.DROP(INDEX(角色MOD表[],MATCH($E44,角色MOD表[名称],0),),,MATCH("耐受",角色MOD表[#Headers],0)))*(_xlfn.DROP(INDEX(角色MOD表[],MATCH($E44,角色MOD表[名称],0),),,MATCH("耐受",角色MOD表[#Headers],0))&lt;&gt;""),COLUMN(_xlfn.DROP(INDEX(角色MOD表[],MATCH($E44,角色MOD表[名称],0),),,MATCH("耐受",角色MOD表[#Headers],0)))*(_xlfn.DROP(INDEX(角色MOD表[],MATCH($E44,角色MOD表[名称],0),),,MATCH("耐受",角色MOD表[#Headers],0))&lt;&gt;"")&lt;&gt;0),ROUNDUP(COLUMNS($L44:R44)/2,0))),_xlfn.LAMBDA(_xlpm.x,IFERROR(IF(ISNUMBER(MATCH($F44,{"百首","狮鹫","契约者"},0)),1+SUM(IFERROR(BUFF层数乘数*VLOOKUP(BUFF,BUFF表[],MATCH("MOD属性",BUFF表[#Headers],0),0),0)),1)*MIN(1,($J44+1)/IF($G44="金",11,IF($G44="绿",4,6)))*_xlpm.x,_xlpm.x))),"")</f>
        <v/>
      </c>
      <c r="T44" s="20" cm="1">
        <f t="array" ref="T44">X44*SUM(B$24*U44,B$26*V44,B$25*W44,B$27)*昂扬背水乘区(AB44,AC44)*SUM(1,AD44,AE44)*(1-敌方抗性+AF44)*(1+AG44)/IF($A$39="DPMP",ROUNDUP($B$30*(2-Z44),0),1)/IF($A$39="DPSMP",ROUNDUP($B$31*MAX(0.25,(2-Z44)/Y44),0),1)*防御乘区(AH44)</f>
        <v>699856.578851957</v>
      </c>
      <c r="U44" s="20" cm="1">
        <f t="array" ref="U44">(取角色总属性(U$39)+基础(U$39)*取单角色MOD属性($E44,U$39))*(1+取角色总属性("属性伤")+取单角色MOD属性($E44,"属性伤"))</f>
        <v>6532.42381266038</v>
      </c>
      <c r="V44" s="20" cm="1">
        <f t="array" ref="V44">取角色总属性(V$39)+基础(V$39)*取单角色MOD属性($E44,V$39)</f>
        <v>3388.65048</v>
      </c>
      <c r="W44" s="20" cm="1">
        <f t="array" ref="W44">取角色总属性(W$39)+基础(W$39)*取单角色MOD属性($E44,W$39)</f>
        <v>1197.24192</v>
      </c>
      <c r="X44" s="23" cm="1">
        <f t="array" ref="X44">取角色总属性(X$39)+基础(X$39)*取单角色MOD属性($E44,X$39)</f>
        <v>5.92554</v>
      </c>
      <c r="Y44" s="23" cm="1">
        <f t="array" ref="Y44">取角色总属性(Y$39)+基础(Y$39)*取单角色MOD属性($E44,Y$39)</f>
        <v>1.2</v>
      </c>
      <c r="Z44" s="23" cm="1">
        <f t="array" ref="Z44">取角色总属性(Z$39)+基础(Z$39)*取单角色MOD属性($E44,Z$39)</f>
        <v>0</v>
      </c>
      <c r="AA44" s="23" cm="1">
        <f t="array" ref="AA44">取角色总属性(AA$39)+基础(AA$39)*取单角色MOD属性($E44,AA$39)</f>
        <v>1.33594</v>
      </c>
      <c r="AB44" s="23" cm="1">
        <f t="array" ref="AB44">取角色总属性(AB$39)+基础(AB$39)*取单角色MOD属性($E44,AB$39)</f>
        <v>0</v>
      </c>
      <c r="AC44" s="23" cm="1">
        <f t="array" ref="AC44">取角色总属性(AC$39)+基础(AC$39)*取单角色MOD属性($E44,AC$39)</f>
        <v>0.83008</v>
      </c>
      <c r="AD44" s="23" cm="1">
        <f t="array" ref="AD44">取角色总属性(AD$39)+基础(AD$39)*取单角色MOD属性($E44,AD$39)</f>
        <v>2.25</v>
      </c>
      <c r="AE44" s="23" cm="1">
        <f t="array" ref="AE44">取角色总属性(AE$39)+基础(AE$39)*取单角色MOD属性($E44,AE$39)</f>
        <v>0</v>
      </c>
      <c r="AF44" s="23" cm="1">
        <f t="array" ref="AF44">取角色总属性(AF$39)+基础(AF$39)*取单角色MOD属性($E44,AF$39)</f>
        <v>0.24</v>
      </c>
      <c r="AG44" s="23" cm="1">
        <f t="array" ref="AG44">取角色总属性(AG$39)+基础(AG$39)*取单角色MOD属性($E44,AG$39)</f>
        <v>0</v>
      </c>
      <c r="AH44" s="23" cm="1">
        <f t="array" ref="AH44">取角色总属性(AH$39)+基础(AH$39)*取单角色MOD属性($E44,AH$39)</f>
        <v>0</v>
      </c>
      <c r="AV44" t="str">
        <v>权能</v>
      </c>
      <c r="AW44" t="str">
        <v>重压</v>
      </c>
      <c r="AX44" t="str">
        <v>锋锐</v>
      </c>
    </row>
    <row r="45" customFormat="1" customHeight="1" spans="1:50">
      <c r="A45" s="122" t="s">
        <v>128</v>
      </c>
      <c r="B45" s="123">
        <v>1.8</v>
      </c>
      <c r="D45" s="76">
        <f t="shared" si="3"/>
        <v>-0.163428835655976</v>
      </c>
      <c r="E45" s="69" t="s">
        <v>129</v>
      </c>
      <c r="F45" s="93" t="str">
        <f>IFERROR(VLOOKUP($E45,角色MOD表[],MATCH(F$6,角色MOD表[#Headers],0),0),"")</f>
        <v>人面狮</v>
      </c>
      <c r="G45" s="93" t="str">
        <f>IFERROR(VLOOKUP($E45,角色MOD表[],MATCH(G$6,角色MOD表[#Headers],0),0),"")</f>
        <v>金</v>
      </c>
      <c r="H45" s="93" t="str">
        <f>IFERROR(VLOOKUP($E45,角色MOD表[],MATCH(H$6,角色MOD表[#Headers],0),0),"")&amp;""</f>
        <v>O</v>
      </c>
      <c r="I45" s="93">
        <f>IF(AND(K45&lt;&gt;"",H45&lt;&gt;""),ROUNDUP(IF(H45=K45,IFERROR(VLOOKUP($E45,角色MOD表[],6,0)+$J45-IF($G45="金",10,IF($G45="绿",3,5)),0)/2,IFERROR(VLOOKUP($E45,角色MOD表[],6,0)+$J45-IF($G45="金",10,IF($G45="绿",3,5)),0)*1.5),0),IFERROR(VLOOKUP($E45,角色MOD表[],6,0)+$J45-IF($G45="金",10,IF($G45="绿",3,5)),0))</f>
        <v>19</v>
      </c>
      <c r="J45" s="106">
        <v>10</v>
      </c>
      <c r="K45" s="69"/>
      <c r="L45" s="68" t="str" cm="1">
        <f t="array" ref="L45">IFERROR(INDEX(角色MOD表[#Headers],SMALL(_xlfn._xlws.FILTER(COLUMN(_xlfn.DROP(INDEX(角色MOD表[],MATCH($E45,角色MOD表[名称],0),),,MATCH("耐受",角色MOD表[#Headers],0)))*(_xlfn.DROP(INDEX(角色MOD表[],MATCH($E45,角色MOD表[名称],0),),,6)&lt;&gt;""),COLUMN(_xlfn.DROP(INDEX(角色MOD表[],MATCH($E45,角色MOD表[名称],0),),,MATCH("耐受",角色MOD表[#Headers],0)))*(_xlfn.DROP(INDEX(角色MOD表[],MATCH($E45,角色MOD表[名称],0),),,6)&lt;&gt;"")&lt;&gt;0),ROUNDUP(COLUMNS($L45:L45)/2,0))),"")</f>
        <v>攻击</v>
      </c>
      <c r="M45" s="78" cm="1">
        <f t="array" ref="M45">IFERROR(_xlfn.MAP(INDEX(INDEX(角色MOD表[],MATCH($E45,角色MOD表[名称],0),),SMALL(_xlfn._xlws.FILTER(COLUMN(_xlfn.DROP(INDEX(角色MOD表[],MATCH($E45,角色MOD表[名称],0),),,MATCH("耐受",角色MOD表[#Headers],0)))*(_xlfn.DROP(INDEX(角色MOD表[],MATCH($E45,角色MOD表[名称],0),),,MATCH("耐受",角色MOD表[#Headers],0))&lt;&gt;""),COLUMN(_xlfn.DROP(INDEX(角色MOD表[],MATCH($E45,角色MOD表[名称],0),),,MATCH("耐受",角色MOD表[#Headers],0)))*(_xlfn.DROP(INDEX(角色MOD表[],MATCH($E45,角色MOD表[名称],0),),,MATCH("耐受",角色MOD表[#Headers],0))&lt;&gt;"")&lt;&gt;0),ROUNDUP(COLUMNS($L45:L45)/2,0))),_xlfn.LAMBDA(_xlpm.x,IFERROR(IF(ISNUMBER(MATCH($F45,{"百首","狮鹫","契约者"},0)),1+SUM(IFERROR(BUFF层数乘数*VLOOKUP(BUFF,BUFF表[],MATCH("MOD属性",BUFF表[#Headers],0),0),0)),1)*MIN(1,($J45+1)/IF($G45="金",11,IF($G45="绿",4,6)))*_xlpm.x,_xlpm.x))),"")</f>
        <v>1.65</v>
      </c>
      <c r="N45" s="68" t="str" cm="1">
        <f t="array" ref="N45">IFERROR(INDEX(角色MOD表[#Headers],SMALL(_xlfn._xlws.FILTER(COLUMN(_xlfn.DROP(INDEX(角色MOD表[],MATCH($E45,角色MOD表[名称],0),),,MATCH("耐受",角色MOD表[#Headers],0)))*(_xlfn.DROP(INDEX(角色MOD表[],MATCH($E45,角色MOD表[名称],0),),,6)&lt;&gt;""),COLUMN(_xlfn.DROP(INDEX(角色MOD表[],MATCH($E45,角色MOD表[名称],0),),,MATCH("耐受",角色MOD表[#Headers],0)))*(_xlfn.DROP(INDEX(角色MOD表[],MATCH($E45,角色MOD表[名称],0),),,6)&lt;&gt;"")&lt;&gt;0),ROUNDUP(COLUMNS($L45:N45)/2,0))),"")</f>
        <v>减伤</v>
      </c>
      <c r="O45" s="78" cm="1">
        <f t="array" ref="O45">IFERROR(_xlfn.MAP(INDEX(INDEX(角色MOD表[],MATCH($E45,角色MOD表[名称],0),),SMALL(_xlfn._xlws.FILTER(COLUMN(_xlfn.DROP(INDEX(角色MOD表[],MATCH($E45,角色MOD表[名称],0),),,MATCH("耐受",角色MOD表[#Headers],0)))*(_xlfn.DROP(INDEX(角色MOD表[],MATCH($E45,角色MOD表[名称],0),),,MATCH("耐受",角色MOD表[#Headers],0))&lt;&gt;""),COLUMN(_xlfn.DROP(INDEX(角色MOD表[],MATCH($E45,角色MOD表[名称],0),),,MATCH("耐受",角色MOD表[#Headers],0)))*(_xlfn.DROP(INDEX(角色MOD表[],MATCH($E45,角色MOD表[名称],0),),,MATCH("耐受",角色MOD表[#Headers],0))&lt;&gt;"")&lt;&gt;0),ROUNDUP(COLUMNS($L45:N45)/2,0))),_xlfn.LAMBDA(_xlpm.x,IFERROR(IF(ISNUMBER(MATCH($F45,{"百首","狮鹫","契约者"},0)),1+SUM(IFERROR(BUFF层数乘数*VLOOKUP(BUFF,BUFF表[],MATCH("MOD属性",BUFF表[#Headers],0),0),0)),1)*MIN(1,($J45+1)/IF($G45="金",11,IF($G45="绿",4,6)))*_xlpm.x,_xlpm.x))),"")</f>
        <v>0.22</v>
      </c>
      <c r="P45" s="68" t="str" cm="1">
        <f t="array" ref="P45">IFERROR(INDEX(角色MOD表[#Headers],SMALL(_xlfn._xlws.FILTER(COLUMN(_xlfn.DROP(INDEX(角色MOD表[],MATCH($E45,角色MOD表[名称],0),),,MATCH("耐受",角色MOD表[#Headers],0)))*(_xlfn.DROP(INDEX(角色MOD表[],MATCH($E45,角色MOD表[名称],0),),,6)&lt;&gt;""),COLUMN(_xlfn.DROP(INDEX(角色MOD表[],MATCH($E45,角色MOD表[名称],0),),,MATCH("耐受",角色MOD表[#Headers],0)))*(_xlfn.DROP(INDEX(角色MOD表[],MATCH($E45,角色MOD表[名称],0),),,6)&lt;&gt;"")&lt;&gt;0),ROUNDUP(COLUMNS($L45:P45)/2,0))),"")</f>
        <v>效果</v>
      </c>
      <c r="Q45" s="78" t="str" cm="1">
        <f t="array" ref="Q45">IFERROR(_xlfn.MAP(INDEX(INDEX(角色MOD表[],MATCH($E45,角色MOD表[名称],0),),SMALL(_xlfn._xlws.FILTER(COLUMN(_xlfn.DROP(INDEX(角色MOD表[],MATCH($E45,角色MOD表[名称],0),),,MATCH("耐受",角色MOD表[#Headers],0)))*(_xlfn.DROP(INDEX(角色MOD表[],MATCH($E45,角色MOD表[名称],0),),,MATCH("耐受",角色MOD表[#Headers],0))&lt;&gt;""),COLUMN(_xlfn.DROP(INDEX(角色MOD表[],MATCH($E45,角色MOD表[名称],0),),,MATCH("耐受",角色MOD表[#Headers],0)))*(_xlfn.DROP(INDEX(角色MOD表[],MATCH($E45,角色MOD表[名称],0),),,MATCH("耐受",角色MOD表[#Headers],0))&lt;&gt;"")&lt;&gt;0),ROUNDUP(COLUMNS($L45:P45)/2,0))),_xlfn.LAMBDA(_xlpm.x,IFERROR(IF(ISNUMBER(MATCH($F45,{"百首","狮鹫","契约者"},0)),1+SUM(IFERROR(BUFF层数乘数*VLOOKUP(BUFF,BUFF表[],MATCH("MOD属性",BUFF表[#Headers],0),0),0)),1)*MIN(1,($J45+1)/IF($G45="金",11,IF($G45="绿",4,6)))*_xlpm.x,_xlpm.x))),"")</f>
        <v>受到的伤害降低22.0%。消灭敌人时，获得1层攻击提高11.0%，持续30.0秒，最多叠加15.0层，叠加时刷新剩余时间。</v>
      </c>
      <c r="R45" s="68" t="str" cm="1">
        <f t="array" ref="R45">IFERROR(INDEX(角色MOD表[#Headers],SMALL(_xlfn._xlws.FILTER(COLUMN(_xlfn.DROP(INDEX(角色MOD表[],MATCH($E45,角色MOD表[名称],0),),,MATCH("耐受",角色MOD表[#Headers],0)))*(_xlfn.DROP(INDEX(角色MOD表[],MATCH($E45,角色MOD表[名称],0),),,6)&lt;&gt;""),COLUMN(_xlfn.DROP(INDEX(角色MOD表[],MATCH($E45,角色MOD表[名称],0),),,MATCH("耐受",角色MOD表[#Headers],0)))*(_xlfn.DROP(INDEX(角色MOD表[],MATCH($E45,角色MOD表[名称],0),),,6)&lt;&gt;"")&lt;&gt;0),ROUNDUP(COLUMNS($L45:R45)/2,0))),"")</f>
        <v/>
      </c>
      <c r="S45" s="78" t="str" cm="1">
        <f t="array" ref="S45">IFERROR(_xlfn.MAP(INDEX(INDEX(角色MOD表[],MATCH($E45,角色MOD表[名称],0),),SMALL(_xlfn._xlws.FILTER(COLUMN(_xlfn.DROP(INDEX(角色MOD表[],MATCH($E45,角色MOD表[名称],0),),,MATCH("耐受",角色MOD表[#Headers],0)))*(_xlfn.DROP(INDEX(角色MOD表[],MATCH($E45,角色MOD表[名称],0),),,MATCH("耐受",角色MOD表[#Headers],0))&lt;&gt;""),COLUMN(_xlfn.DROP(INDEX(角色MOD表[],MATCH($E45,角色MOD表[名称],0),),,MATCH("耐受",角色MOD表[#Headers],0)))*(_xlfn.DROP(INDEX(角色MOD表[],MATCH($E45,角色MOD表[名称],0),),,MATCH("耐受",角色MOD表[#Headers],0))&lt;&gt;"")&lt;&gt;0),ROUNDUP(COLUMNS($L45:R45)/2,0))),_xlfn.LAMBDA(_xlpm.x,IFERROR(IF(ISNUMBER(MATCH($F45,{"百首","狮鹫","契约者"},0)),1+SUM(IFERROR(BUFF层数乘数*VLOOKUP(BUFF,BUFF表[],MATCH("MOD属性",BUFF表[#Headers],0),0),0)),1)*MIN(1,($J45+1)/IF($G45="金",11,IF($G45="绿",4,6)))*_xlpm.x,_xlpm.x))),"")</f>
        <v/>
      </c>
      <c r="T45" s="20" cm="1">
        <f t="array" ref="T45">X45*SUM(B$24*U45,B$26*V45,B$25*W45,B$27)*昂扬背水乘区(AB45,AC45)*SUM(1,AD45,AE45)*(1-敌方抗性+AF45)*(1+AG45)/IF($A$39="DPMP",ROUNDUP($B$30*(2-Z45),0),1)/IF($A$39="DPSMP",ROUNDUP($B$31*MAX(0.25,(2-Z45)/Y45),0),1)*防御乘区(AH45)</f>
        <v>739156.470849297</v>
      </c>
      <c r="U45" s="20" cm="1">
        <f t="array" ref="U45">(取角色总属性(U$39)+基础(U$39)*取单角色MOD属性($E45,U$39))*(1+取角色总属性("属性伤")+取单角色MOD属性($E45,"属性伤"))</f>
        <v>6899.24689909837</v>
      </c>
      <c r="V45" s="20" cm="1">
        <f t="array" ref="V45">取角色总属性(V$39)+基础(V$39)*取单角色MOD属性($E45,V$39)</f>
        <v>3388.65048</v>
      </c>
      <c r="W45" s="20" cm="1">
        <f t="array" ref="W45">取角色总属性(W$39)+基础(W$39)*取单角色MOD属性($E45,W$39)</f>
        <v>971.49024</v>
      </c>
      <c r="X45" s="23" cm="1">
        <f t="array" ref="X45">取角色总属性(X$39)+基础(X$39)*取单角色MOD属性($E45,X$39)</f>
        <v>5.92554</v>
      </c>
      <c r="Y45" s="23" cm="1">
        <f t="array" ref="Y45">取角色总属性(Y$39)+基础(Y$39)*取单角色MOD属性($E45,Y$39)</f>
        <v>1.2</v>
      </c>
      <c r="Z45" s="23" cm="1">
        <f t="array" ref="Z45">取角色总属性(Z$39)+基础(Z$39)*取单角色MOD属性($E45,Z$39)</f>
        <v>0</v>
      </c>
      <c r="AA45" s="23" cm="1">
        <f t="array" ref="AA45">取角色总属性(AA$39)+基础(AA$39)*取单角色MOD属性($E45,AA$39)</f>
        <v>1.33594</v>
      </c>
      <c r="AB45" s="23" cm="1">
        <f t="array" ref="AB45">取角色总属性(AB$39)+基础(AB$39)*取单角色MOD属性($E45,AB$39)</f>
        <v>0</v>
      </c>
      <c r="AC45" s="23" cm="1">
        <f t="array" ref="AC45">取角色总属性(AC$39)+基础(AC$39)*取单角色MOD属性($E45,AC$39)</f>
        <v>0.83008</v>
      </c>
      <c r="AD45" s="23" cm="1">
        <f t="array" ref="AD45">取角色总属性(AD$39)+基础(AD$39)*取单角色MOD属性($E45,AD$39)</f>
        <v>2.25</v>
      </c>
      <c r="AE45" s="23" cm="1">
        <f t="array" ref="AE45">取角色总属性(AE$39)+基础(AE$39)*取单角色MOD属性($E45,AE$39)</f>
        <v>0</v>
      </c>
      <c r="AF45" s="23" cm="1">
        <f t="array" ref="AF45">取角色总属性(AF$39)+基础(AF$39)*取单角色MOD属性($E45,AF$39)</f>
        <v>0.24</v>
      </c>
      <c r="AG45" s="23" cm="1">
        <f t="array" ref="AG45">取角色总属性(AG$39)+基础(AG$39)*取单角色MOD属性($E45,AG$39)</f>
        <v>0</v>
      </c>
      <c r="AH45" s="23" cm="1">
        <f t="array" ref="AH45">取角色总属性(AH$39)+基础(AH$39)*取单角色MOD属性($E45,AH$39)</f>
        <v>0</v>
      </c>
      <c r="AV45" t="str">
        <v>永恒</v>
      </c>
      <c r="AW45" t="str">
        <v>迅捷</v>
      </c>
      <c r="AX45" t="str">
        <v>透析</v>
      </c>
    </row>
    <row r="46" customFormat="1" customHeight="1" spans="1:50">
      <c r="A46" s="122" t="s">
        <v>130</v>
      </c>
      <c r="B46" s="78" cm="1">
        <f t="array" ref="B46">MIN(2.8,C15+SUM(IFERROR(_xlfn.MAP(($J$7:$J$14+1)/IF($G$7:$G$14="金",11,IF($G$7:$G$14="绿",4,6)),_xlfn.LAMBDA(_xlpm.a,IF(_xlpm.a&gt;1,1,_xlpm.a)))*VLOOKUP(角色MOD,角色MOD表[],MATCH(A46,角色MOD表[#Headers],0),0),0)))</f>
        <v>1.33594</v>
      </c>
      <c r="D46" s="76">
        <f t="shared" si="3"/>
        <v>-0.160659549594144</v>
      </c>
      <c r="E46" s="69" t="s">
        <v>131</v>
      </c>
      <c r="F46" s="93" t="str">
        <f>IFERROR(VLOOKUP($E46,角色MOD表[],MATCH(F$6,角色MOD表[#Headers],0),0),"")</f>
        <v>人面狮</v>
      </c>
      <c r="G46" s="93" t="str">
        <f>IFERROR(VLOOKUP($E46,角色MOD表[],MATCH(G$6,角色MOD表[#Headers],0),0),"")</f>
        <v>金</v>
      </c>
      <c r="H46" s="93" t="str">
        <f>IFERROR(VLOOKUP($E46,角色MOD表[],MATCH(H$6,角色MOD表[#Headers],0),0),"")&amp;""</f>
        <v>O</v>
      </c>
      <c r="I46" s="93">
        <f>IF(AND(K46&lt;&gt;"",H46&lt;&gt;""),ROUNDUP(IF(H46=K46,IFERROR(VLOOKUP($E46,角色MOD表[],6,0)+$J46-IF($G46="金",10,IF($G46="绿",3,5)),0)/2,IFERROR(VLOOKUP($E46,角色MOD表[],6,0)+$J46-IF($G46="金",10,IF($G46="绿",3,5)),0)*1.5),0),IFERROR(VLOOKUP($E46,角色MOD表[],6,0)+$J46-IF($G46="金",10,IF($G46="绿",3,5)),0))</f>
        <v>18</v>
      </c>
      <c r="J46" s="106">
        <v>10</v>
      </c>
      <c r="K46" s="69"/>
      <c r="L46" s="68" t="str" cm="1">
        <f t="array" ref="L46">IFERROR(INDEX(角色MOD表[#Headers],SMALL(_xlfn._xlws.FILTER(COLUMN(_xlfn.DROP(INDEX(角色MOD表[],MATCH($E46,角色MOD表[名称],0),),,MATCH("耐受",角色MOD表[#Headers],0)))*(_xlfn.DROP(INDEX(角色MOD表[],MATCH($E46,角色MOD表[名称],0),),,6)&lt;&gt;""),COLUMN(_xlfn.DROP(INDEX(角色MOD表[],MATCH($E46,角色MOD表[名称],0),),,MATCH("耐受",角色MOD表[#Headers],0)))*(_xlfn.DROP(INDEX(角色MOD表[],MATCH($E46,角色MOD表[名称],0),),,6)&lt;&gt;"")&lt;&gt;0),ROUNDUP(COLUMNS($L46:L46)/2,0))),"")</f>
        <v>增伤</v>
      </c>
      <c r="M46" s="78" cm="1">
        <f t="array" ref="M46">IFERROR(_xlfn.MAP(INDEX(INDEX(角色MOD表[],MATCH($E46,角色MOD表[名称],0),),SMALL(_xlfn._xlws.FILTER(COLUMN(_xlfn.DROP(INDEX(角色MOD表[],MATCH($E46,角色MOD表[名称],0),),,MATCH("耐受",角色MOD表[#Headers],0)))*(_xlfn.DROP(INDEX(角色MOD表[],MATCH($E46,角色MOD表[名称],0),),,MATCH("耐受",角色MOD表[#Headers],0))&lt;&gt;""),COLUMN(_xlfn.DROP(INDEX(角色MOD表[],MATCH($E46,角色MOD表[名称],0),),,MATCH("耐受",角色MOD表[#Headers],0)))*(_xlfn.DROP(INDEX(角色MOD表[],MATCH($E46,角色MOD表[名称],0),),,MATCH("耐受",角色MOD表[#Headers],0))&lt;&gt;"")&lt;&gt;0),ROUNDUP(COLUMNS($L46:L46)/2,0))),_xlfn.LAMBDA(_xlpm.x,IFERROR(IF(ISNUMBER(MATCH($F46,{"百首","狮鹫","契约者"},0)),1+SUM(IFERROR(BUFF层数乘数*VLOOKUP(BUFF,BUFF表[],MATCH("MOD属性",BUFF表[#Headers],0),0),0)),1)*MIN(1,($J46+1)/IF($G46="金",11,IF($G46="绿",4,6)))*_xlpm.x,_xlpm.x))),"")</f>
        <v>0.44</v>
      </c>
      <c r="N46" s="68" t="str" cm="1">
        <f t="array" ref="N46">IFERROR(INDEX(角色MOD表[#Headers],SMALL(_xlfn._xlws.FILTER(COLUMN(_xlfn.DROP(INDEX(角色MOD表[],MATCH($E46,角色MOD表[名称],0),),,MATCH("耐受",角色MOD表[#Headers],0)))*(_xlfn.DROP(INDEX(角色MOD表[],MATCH($E46,角色MOD表[名称],0),),,6)&lt;&gt;""),COLUMN(_xlfn.DROP(INDEX(角色MOD表[],MATCH($E46,角色MOD表[名称],0),),,MATCH("耐受",角色MOD表[#Headers],0)))*(_xlfn.DROP(INDEX(角色MOD表[],MATCH($E46,角色MOD表[名称],0),),,6)&lt;&gt;"")&lt;&gt;0),ROUNDUP(COLUMNS($L46:N46)/2,0))),"")</f>
        <v>效果</v>
      </c>
      <c r="O46" s="78" t="str" cm="1">
        <f t="array" ref="O46">IFERROR(_xlfn.MAP(INDEX(INDEX(角色MOD表[],MATCH($E46,角色MOD表[名称],0),),SMALL(_xlfn._xlws.FILTER(COLUMN(_xlfn.DROP(INDEX(角色MOD表[],MATCH($E46,角色MOD表[名称],0),),,MATCH("耐受",角色MOD表[#Headers],0)))*(_xlfn.DROP(INDEX(角色MOD表[],MATCH($E46,角色MOD表[名称],0),),,MATCH("耐受",角色MOD表[#Headers],0))&lt;&gt;""),COLUMN(_xlfn.DROP(INDEX(角色MOD表[],MATCH($E46,角色MOD表[名称],0),),,MATCH("耐受",角色MOD表[#Headers],0)))*(_xlfn.DROP(INDEX(角色MOD表[],MATCH($E46,角色MOD表[名称],0),),,MATCH("耐受",角色MOD表[#Headers],0))&lt;&gt;"")&lt;&gt;0),ROUNDUP(COLUMNS($L46:N46)/2,0))),_xlfn.LAMBDA(_xlpm.x,IFERROR(IF(ISNUMBER(MATCH($F46,{"百首","狮鹫","契约者"},0)),1+SUM(IFERROR(BUFF层数乘数*VLOOKUP(BUFF,BUFF表[],MATCH("MOD属性",BUFF表[#Headers],0),0),0)),1)*MIN(1,($J46+1)/IF($G46="金",11,IF($G46="绿",4,6)))*_xlpm.x,_xlpm.x))),"")</f>
        <v>周围20米内不超过2名敌人时，造成的伤害提高44.0%。</v>
      </c>
      <c r="P46" s="68" t="str" cm="1">
        <f t="array" ref="P46">IFERROR(INDEX(角色MOD表[#Headers],SMALL(_xlfn._xlws.FILTER(COLUMN(_xlfn.DROP(INDEX(角色MOD表[],MATCH($E46,角色MOD表[名称],0),),,MATCH("耐受",角色MOD表[#Headers],0)))*(_xlfn.DROP(INDEX(角色MOD表[],MATCH($E46,角色MOD表[名称],0),),,6)&lt;&gt;""),COLUMN(_xlfn.DROP(INDEX(角色MOD表[],MATCH($E46,角色MOD表[名称],0),),,MATCH("耐受",角色MOD表[#Headers],0)))*(_xlfn.DROP(INDEX(角色MOD表[],MATCH($E46,角色MOD表[名称],0),),,6)&lt;&gt;"")&lt;&gt;0),ROUNDUP(COLUMNS($L46:P46)/2,0))),"")</f>
        <v/>
      </c>
      <c r="Q46" s="78" t="str" cm="1">
        <f t="array" ref="Q46">IFERROR(_xlfn.MAP(INDEX(INDEX(角色MOD表[],MATCH($E46,角色MOD表[名称],0),),SMALL(_xlfn._xlws.FILTER(COLUMN(_xlfn.DROP(INDEX(角色MOD表[],MATCH($E46,角色MOD表[名称],0),),,MATCH("耐受",角色MOD表[#Headers],0)))*(_xlfn.DROP(INDEX(角色MOD表[],MATCH($E46,角色MOD表[名称],0),),,MATCH("耐受",角色MOD表[#Headers],0))&lt;&gt;""),COLUMN(_xlfn.DROP(INDEX(角色MOD表[],MATCH($E46,角色MOD表[名称],0),),,MATCH("耐受",角色MOD表[#Headers],0)))*(_xlfn.DROP(INDEX(角色MOD表[],MATCH($E46,角色MOD表[名称],0),),,MATCH("耐受",角色MOD表[#Headers],0))&lt;&gt;"")&lt;&gt;0),ROUNDUP(COLUMNS($L46:P46)/2,0))),_xlfn.LAMBDA(_xlpm.x,IFERROR(IF(ISNUMBER(MATCH($F46,{"百首","狮鹫","契约者"},0)),1+SUM(IFERROR(BUFF层数乘数*VLOOKUP(BUFF,BUFF表[],MATCH("MOD属性",BUFF表[#Headers],0),0),0)),1)*MIN(1,($J46+1)/IF($G46="金",11,IF($G46="绿",4,6)))*_xlpm.x,_xlpm.x))),"")</f>
        <v/>
      </c>
      <c r="R46" s="68" t="str" cm="1">
        <f t="array" ref="R46">IFERROR(INDEX(角色MOD表[#Headers],SMALL(_xlfn._xlws.FILTER(COLUMN(_xlfn.DROP(INDEX(角色MOD表[],MATCH($E46,角色MOD表[名称],0),),,MATCH("耐受",角色MOD表[#Headers],0)))*(_xlfn.DROP(INDEX(角色MOD表[],MATCH($E46,角色MOD表[名称],0),),,6)&lt;&gt;""),COLUMN(_xlfn.DROP(INDEX(角色MOD表[],MATCH($E46,角色MOD表[名称],0),),,MATCH("耐受",角色MOD表[#Headers],0)))*(_xlfn.DROP(INDEX(角色MOD表[],MATCH($E46,角色MOD表[名称],0),),,6)&lt;&gt;"")&lt;&gt;0),ROUNDUP(COLUMNS($L46:R46)/2,0))),"")</f>
        <v/>
      </c>
      <c r="S46" s="78" t="str" cm="1">
        <f t="array" ref="S46">IFERROR(_xlfn.MAP(INDEX(INDEX(角色MOD表[],MATCH($E46,角色MOD表[名称],0),),SMALL(_xlfn._xlws.FILTER(COLUMN(_xlfn.DROP(INDEX(角色MOD表[],MATCH($E46,角色MOD表[名称],0),),,MATCH("耐受",角色MOD表[#Headers],0)))*(_xlfn.DROP(INDEX(角色MOD表[],MATCH($E46,角色MOD表[名称],0),),,MATCH("耐受",角色MOD表[#Headers],0))&lt;&gt;""),COLUMN(_xlfn.DROP(INDEX(角色MOD表[],MATCH($E46,角色MOD表[名称],0),),,MATCH("耐受",角色MOD表[#Headers],0)))*(_xlfn.DROP(INDEX(角色MOD表[],MATCH($E46,角色MOD表[名称],0),),,MATCH("耐受",角色MOD表[#Headers],0))&lt;&gt;"")&lt;&gt;0),ROUNDUP(COLUMNS($L46:R46)/2,0))),_xlfn.LAMBDA(_xlpm.x,IFERROR(IF(ISNUMBER(MATCH($F46,{"百首","狮鹫","契约者"},0)),1+SUM(IFERROR(BUFF层数乘数*VLOOKUP(BUFF,BUFF表[],MATCH("MOD属性",BUFF表[#Headers],0),0),0)),1)*MIN(1,($J46+1)/IF($G46="金",11,IF($G46="绿",4,6)))*_xlpm.x,_xlpm.x))),"")</f>
        <v/>
      </c>
      <c r="T46" s="20" cm="1">
        <f t="array" ref="T46">X46*SUM(B$24*U46,B$26*V46,B$25*W46,B$27)*昂扬背水乘区(AB46,AC46)*SUM(1,AD46,AE46)*(1-敌方抗性+AF46)*(1+AG46)/IF($A$39="DPMP",ROUNDUP($B$30*(2-Z46),0),1)/IF($A$39="DPSMP",ROUNDUP($B$31*MAX(0.25,(2-Z46)/Y46),0),1)*防御乘区(AH46)</f>
        <v>741603.286851904</v>
      </c>
      <c r="U46" s="20" cm="1">
        <f t="array" ref="U46">(取角色总属性(U$39)+基础(U$39)*取单角色MOD属性($E46,U$39))*(1+取角色总属性("属性伤")+取单角色MOD属性($E46,"属性伤"))</f>
        <v>6096.68763763837</v>
      </c>
      <c r="V46" s="20" cm="1">
        <f t="array" ref="V46">取角色总属性(V$39)+基础(V$39)*取单角色MOD属性($E46,V$39)</f>
        <v>3388.65048</v>
      </c>
      <c r="W46" s="20" cm="1">
        <f t="array" ref="W46">取角色总属性(W$39)+基础(W$39)*取单角色MOD属性($E46,W$39)</f>
        <v>971.49024</v>
      </c>
      <c r="X46" s="23" cm="1">
        <f t="array" ref="X46">取角色总属性(X$39)+基础(X$39)*取单角色MOD属性($E46,X$39)</f>
        <v>5.92554</v>
      </c>
      <c r="Y46" s="23" cm="1">
        <f t="array" ref="Y46">取角色总属性(Y$39)+基础(Y$39)*取单角色MOD属性($E46,Y$39)</f>
        <v>1.2</v>
      </c>
      <c r="Z46" s="23" cm="1">
        <f t="array" ref="Z46">取角色总属性(Z$39)+基础(Z$39)*取单角色MOD属性($E46,Z$39)</f>
        <v>0</v>
      </c>
      <c r="AA46" s="23" cm="1">
        <f t="array" ref="AA46">取角色总属性(AA$39)+基础(AA$39)*取单角色MOD属性($E46,AA$39)</f>
        <v>1.33594</v>
      </c>
      <c r="AB46" s="23" cm="1">
        <f t="array" ref="AB46">取角色总属性(AB$39)+基础(AB$39)*取单角色MOD属性($E46,AB$39)</f>
        <v>0</v>
      </c>
      <c r="AC46" s="23" cm="1">
        <f t="array" ref="AC46">取角色总属性(AC$39)+基础(AC$39)*取单角色MOD属性($E46,AC$39)</f>
        <v>0.83008</v>
      </c>
      <c r="AD46" s="23" cm="1">
        <f t="array" ref="AD46">取角色总属性(AD$39)+基础(AD$39)*取单角色MOD属性($E46,AD$39)</f>
        <v>2.69</v>
      </c>
      <c r="AE46" s="23" cm="1">
        <f t="array" ref="AE46">取角色总属性(AE$39)+基础(AE$39)*取单角色MOD属性($E46,AE$39)</f>
        <v>0</v>
      </c>
      <c r="AF46" s="23" cm="1">
        <f t="array" ref="AF46">取角色总属性(AF$39)+基础(AF$39)*取单角色MOD属性($E46,AF$39)</f>
        <v>0.24</v>
      </c>
      <c r="AG46" s="23" cm="1">
        <f t="array" ref="AG46">取角色总属性(AG$39)+基础(AG$39)*取单角色MOD属性($E46,AG$39)</f>
        <v>0</v>
      </c>
      <c r="AH46" s="23" cm="1">
        <f t="array" ref="AH46">取角色总属性(AH$39)+基础(AH$39)*取单角色MOD属性($E46,AH$39)</f>
        <v>0</v>
      </c>
      <c r="AV46" t="str">
        <v>鼓舞·消逝</v>
      </c>
      <c r="AW46" t="str">
        <v>攻势</v>
      </c>
      <c r="AX46" t="str">
        <v>重压</v>
      </c>
    </row>
    <row r="47" customFormat="1" customHeight="1" spans="1:50">
      <c r="A47" s="122" t="s">
        <v>132</v>
      </c>
      <c r="B47" s="78" cm="1">
        <f t="array" ref="B47">SUM(IFERROR(_xlfn.MAP(($J$7:$J$14+1)/IF($G$7:$G$14="金",11,IF($G$7:$G$14="绿",4,6)),_xlfn.LAMBDA(_xlpm.a,IF(_xlpm.a&gt;1,1,_xlpm.a)))*VLOOKUP(角色MOD,角色MOD表[],MATCH(A47,角色MOD表[#Headers],0),0),0))</f>
        <v>0</v>
      </c>
      <c r="D47" s="76">
        <f t="shared" si="3"/>
        <v>-0.148461613316134</v>
      </c>
      <c r="E47" s="69" t="s">
        <v>133</v>
      </c>
      <c r="F47" s="93" t="str">
        <f>IFERROR(VLOOKUP($E47,角色MOD表[],MATCH(F$6,角色MOD表[#Headers],0),0),"")</f>
        <v>牧神</v>
      </c>
      <c r="G47" s="93" t="str">
        <f>IFERROR(VLOOKUP($E47,角色MOD表[],MATCH(G$6,角色MOD表[#Headers],0),0),"")</f>
        <v>紫</v>
      </c>
      <c r="H47" s="93" t="str">
        <f>IFERROR(VLOOKUP($E47,角色MOD表[],MATCH(H$6,角色MOD表[#Headers],0),0),"")&amp;""</f>
        <v>V</v>
      </c>
      <c r="I47" s="93">
        <f>IF(AND(K47&lt;&gt;"",H47&lt;&gt;""),ROUNDUP(IF(H47=K47,IFERROR(VLOOKUP($E47,角色MOD表[],6,0)+$J47-IF($G47="金",10,IF($G47="绿",3,5)),0)/2,IFERROR(VLOOKUP($E47,角色MOD表[],6,0)+$J47-IF($G47="金",10,IF($G47="绿",3,5)),0)*1.5),0),IFERROR(VLOOKUP($E47,角色MOD表[],6,0)+$J47-IF($G47="金",10,IF($G47="绿",3,5)),0))</f>
        <v>18</v>
      </c>
      <c r="J47" s="106">
        <v>10</v>
      </c>
      <c r="K47" s="69"/>
      <c r="L47" s="68" t="str" cm="1">
        <f t="array" ref="L47">IFERROR(INDEX(角色MOD表[#Headers],SMALL(_xlfn._xlws.FILTER(COLUMN(_xlfn.DROP(INDEX(角色MOD表[],MATCH($E47,角色MOD表[名称],0),),,MATCH("耐受",角色MOD表[#Headers],0)))*(_xlfn.DROP(INDEX(角色MOD表[],MATCH($E47,角色MOD表[名称],0),),,6)&lt;&gt;""),COLUMN(_xlfn.DROP(INDEX(角色MOD表[],MATCH($E47,角色MOD表[名称],0),),,MATCH("耐受",角色MOD表[#Headers],0)))*(_xlfn.DROP(INDEX(角色MOD表[],MATCH($E47,角色MOD表[名称],0),),,6)&lt;&gt;"")&lt;&gt;0),ROUNDUP(COLUMNS($L47:L47)/2,0))),"")</f>
        <v>威力</v>
      </c>
      <c r="M47" s="78" cm="1">
        <f t="array" ref="M47">IFERROR(_xlfn.MAP(INDEX(INDEX(角色MOD表[],MATCH($E47,角色MOD表[名称],0),),SMALL(_xlfn._xlws.FILTER(COLUMN(_xlfn.DROP(INDEX(角色MOD表[],MATCH($E47,角色MOD表[名称],0),),,MATCH("耐受",角色MOD表[#Headers],0)))*(_xlfn.DROP(INDEX(角色MOD表[],MATCH($E47,角色MOD表[名称],0),),,MATCH("耐受",角色MOD表[#Headers],0))&lt;&gt;""),COLUMN(_xlfn.DROP(INDEX(角色MOD表[],MATCH($E47,角色MOD表[名称],0),),,MATCH("耐受",角色MOD表[#Headers],0)))*(_xlfn.DROP(INDEX(角色MOD表[],MATCH($E47,角色MOD表[名称],0),),,MATCH("耐受",角色MOD表[#Headers],0))&lt;&gt;"")&lt;&gt;0),ROUNDUP(COLUMNS($L47:L47)/2,0))),_xlfn.LAMBDA(_xlpm.x,IFERROR(IF(ISNUMBER(MATCH($F47,{"百首","狮鹫","契约者"},0)),1+SUM(IFERROR(BUFF层数乘数*VLOOKUP(BUFF,BUFF表[],MATCH("MOD属性",BUFF表[#Headers],0),0),0)),1)*MIN(1,($J47+1)/IF($G47="金",11,IF($G47="绿",4,6)))*_xlpm.x,_xlpm.x))),"")</f>
        <v>0.9</v>
      </c>
      <c r="N47" s="68" t="str" cm="1">
        <f t="array" ref="N47">IFERROR(INDEX(角色MOD表[#Headers],SMALL(_xlfn._xlws.FILTER(COLUMN(_xlfn.DROP(INDEX(角色MOD表[],MATCH($E47,角色MOD表[名称],0),),,MATCH("耐受",角色MOD表[#Headers],0)))*(_xlfn.DROP(INDEX(角色MOD表[],MATCH($E47,角色MOD表[名称],0),),,6)&lt;&gt;""),COLUMN(_xlfn.DROP(INDEX(角色MOD表[],MATCH($E47,角色MOD表[名称],0),),,MATCH("耐受",角色MOD表[#Headers],0)))*(_xlfn.DROP(INDEX(角色MOD表[],MATCH($E47,角色MOD表[名称],0),),,6)&lt;&gt;"")&lt;&gt;0),ROUNDUP(COLUMNS($L47:N47)/2,0))),"")</f>
        <v>效益</v>
      </c>
      <c r="O47" s="78" cm="1">
        <f t="array" ref="O47">IFERROR(_xlfn.MAP(INDEX(INDEX(角色MOD表[],MATCH($E47,角色MOD表[名称],0),),SMALL(_xlfn._xlws.FILTER(COLUMN(_xlfn.DROP(INDEX(角色MOD表[],MATCH($E47,角色MOD表[名称],0),),,MATCH("耐受",角色MOD表[#Headers],0)))*(_xlfn.DROP(INDEX(角色MOD表[],MATCH($E47,角色MOD表[名称],0),),,MATCH("耐受",角色MOD表[#Headers],0))&lt;&gt;""),COLUMN(_xlfn.DROP(INDEX(角色MOD表[],MATCH($E47,角色MOD表[名称],0),),,MATCH("耐受",角色MOD表[#Headers],0)))*(_xlfn.DROP(INDEX(角色MOD表[],MATCH($E47,角色MOD表[名称],0),),,MATCH("耐受",角色MOD表[#Headers],0))&lt;&gt;"")&lt;&gt;0),ROUNDUP(COLUMNS($L47:N47)/2,0))),_xlfn.LAMBDA(_xlpm.x,IFERROR(IF(ISNUMBER(MATCH($F47,{"百首","狮鹫","契约者"},0)),1+SUM(IFERROR(BUFF层数乘数*VLOOKUP(BUFF,BUFF表[],MATCH("MOD属性",BUFF表[#Headers],0),0),0)),1)*MIN(1,($J47+1)/IF($G47="金",11,IF($G47="绿",4,6)))*_xlpm.x,_xlpm.x))),"")</f>
        <v>-0.5</v>
      </c>
      <c r="P47" s="68" t="str" cm="1">
        <f t="array" ref="P47">IFERROR(INDEX(角色MOD表[#Headers],SMALL(_xlfn._xlws.FILTER(COLUMN(_xlfn.DROP(INDEX(角色MOD表[],MATCH($E47,角色MOD表[名称],0),),,MATCH("耐受",角色MOD表[#Headers],0)))*(_xlfn.DROP(INDEX(角色MOD表[],MATCH($E47,角色MOD表[名称],0),),,6)&lt;&gt;""),COLUMN(_xlfn.DROP(INDEX(角色MOD表[],MATCH($E47,角色MOD表[名称],0),),,MATCH("耐受",角色MOD表[#Headers],0)))*(_xlfn.DROP(INDEX(角色MOD表[],MATCH($E47,角色MOD表[名称],0),),,6)&lt;&gt;"")&lt;&gt;0),ROUNDUP(COLUMNS($L47:P47)/2,0))),"")</f>
        <v/>
      </c>
      <c r="Q47" s="78" t="str" cm="1">
        <f t="array" ref="Q47">IFERROR(_xlfn.MAP(INDEX(INDEX(角色MOD表[],MATCH($E47,角色MOD表[名称],0),),SMALL(_xlfn._xlws.FILTER(COLUMN(_xlfn.DROP(INDEX(角色MOD表[],MATCH($E47,角色MOD表[名称],0),),,MATCH("耐受",角色MOD表[#Headers],0)))*(_xlfn.DROP(INDEX(角色MOD表[],MATCH($E47,角色MOD表[名称],0),),,MATCH("耐受",角色MOD表[#Headers],0))&lt;&gt;""),COLUMN(_xlfn.DROP(INDEX(角色MOD表[],MATCH($E47,角色MOD表[名称],0),),,MATCH("耐受",角色MOD表[#Headers],0)))*(_xlfn.DROP(INDEX(角色MOD表[],MATCH($E47,角色MOD表[名称],0),),,MATCH("耐受",角色MOD表[#Headers],0))&lt;&gt;"")&lt;&gt;0),ROUNDUP(COLUMNS($L47:P47)/2,0))),_xlfn.LAMBDA(_xlpm.x,IFERROR(IF(ISNUMBER(MATCH($F47,{"百首","狮鹫","契约者"},0)),1+SUM(IFERROR(BUFF层数乘数*VLOOKUP(BUFF,BUFF表[],MATCH("MOD属性",BUFF表[#Headers],0),0),0)),1)*MIN(1,($J47+1)/IF($G47="金",11,IF($G47="绿",4,6)))*_xlpm.x,_xlpm.x))),"")</f>
        <v/>
      </c>
      <c r="R47" s="68" t="str" cm="1">
        <f t="array" ref="R47">IFERROR(INDEX(角色MOD表[#Headers],SMALL(_xlfn._xlws.FILTER(COLUMN(_xlfn.DROP(INDEX(角色MOD表[],MATCH($E47,角色MOD表[名称],0),),,MATCH("耐受",角色MOD表[#Headers],0)))*(_xlfn.DROP(INDEX(角色MOD表[],MATCH($E47,角色MOD表[名称],0),),,6)&lt;&gt;""),COLUMN(_xlfn.DROP(INDEX(角色MOD表[],MATCH($E47,角色MOD表[名称],0),),,MATCH("耐受",角色MOD表[#Headers],0)))*(_xlfn.DROP(INDEX(角色MOD表[],MATCH($E47,角色MOD表[名称],0),),,6)&lt;&gt;"")&lt;&gt;0),ROUNDUP(COLUMNS($L47:R47)/2,0))),"")</f>
        <v/>
      </c>
      <c r="S47" s="78" t="str" cm="1">
        <f t="array" ref="S47">IFERROR(_xlfn.MAP(INDEX(INDEX(角色MOD表[],MATCH($E47,角色MOD表[名称],0),),SMALL(_xlfn._xlws.FILTER(COLUMN(_xlfn.DROP(INDEX(角色MOD表[],MATCH($E47,角色MOD表[名称],0),),,MATCH("耐受",角色MOD表[#Headers],0)))*(_xlfn.DROP(INDEX(角色MOD表[],MATCH($E47,角色MOD表[名称],0),),,MATCH("耐受",角色MOD表[#Headers],0))&lt;&gt;""),COLUMN(_xlfn.DROP(INDEX(角色MOD表[],MATCH($E47,角色MOD表[名称],0),),,MATCH("耐受",角色MOD表[#Headers],0)))*(_xlfn.DROP(INDEX(角色MOD表[],MATCH($E47,角色MOD表[名称],0),),,MATCH("耐受",角色MOD表[#Headers],0))&lt;&gt;"")&lt;&gt;0),ROUNDUP(COLUMNS($L47:R47)/2,0))),_xlfn.LAMBDA(_xlpm.x,IFERROR(IF(ISNUMBER(MATCH($F47,{"百首","狮鹫","契约者"},0)),1+SUM(IFERROR(BUFF层数乘数*VLOOKUP(BUFF,BUFF表[],MATCH("MOD属性",BUFF表[#Headers],0),0),0)),1)*MIN(1,($J47+1)/IF($G47="金",11,IF($G47="绿",4,6)))*_xlpm.x,_xlpm.x))),"")</f>
        <v/>
      </c>
      <c r="T47" s="20" cm="1">
        <f t="array" ref="T47">X47*SUM(B$24*U47,B$26*V47,B$25*W47,B$27)*昂扬背水乘区(AB47,AC47)*SUM(1,AD47,AE47)*(1-敌方抗性+AF47)*(1+AG47)/IF($A$39="DPMP",ROUNDUP($B$30*(2-Z47),0),1)/IF($A$39="DPSMP",ROUNDUP($B$31*MAX(0.25,(2-Z47)/Y47),0),1)*防御乘区(AH47)</f>
        <v>752380.832044928</v>
      </c>
      <c r="U47" s="20" cm="1">
        <f t="array" ref="U47">(取角色总属性(U$39)+基础(U$39)*取单角色MOD属性($E47,U$39))*(1+取角色总属性("属性伤")+取单角色MOD属性($E47,"属性伤"))</f>
        <v>6096.68763763837</v>
      </c>
      <c r="V47" s="20" cm="1">
        <f t="array" ref="V47">取角色总属性(V$39)+基础(V$39)*取单角色MOD属性($E47,V$39)</f>
        <v>3388.65048</v>
      </c>
      <c r="W47" s="20" cm="1">
        <f t="array" ref="W47">取角色总属性(W$39)+基础(W$39)*取单角色MOD属性($E47,W$39)</f>
        <v>971.49024</v>
      </c>
      <c r="X47" s="23" cm="1">
        <f t="array" ref="X47">取角色总属性(X$39)+基础(X$39)*取单角色MOD属性($E47,X$39)</f>
        <v>6.82554</v>
      </c>
      <c r="Y47" s="23" cm="1">
        <f t="array" ref="Y47">取角色总属性(Y$39)+基础(Y$39)*取单角色MOD属性($E47,Y$39)</f>
        <v>1.2</v>
      </c>
      <c r="Z47" s="23" cm="1">
        <f t="array" ref="Z47">取角色总属性(Z$39)+基础(Z$39)*取单角色MOD属性($E47,Z$39)</f>
        <v>-0.5</v>
      </c>
      <c r="AA47" s="23" cm="1">
        <f t="array" ref="AA47">取角色总属性(AA$39)+基础(AA$39)*取单角色MOD属性($E47,AA$39)</f>
        <v>1.33594</v>
      </c>
      <c r="AB47" s="23" cm="1">
        <f t="array" ref="AB47">取角色总属性(AB$39)+基础(AB$39)*取单角色MOD属性($E47,AB$39)</f>
        <v>0</v>
      </c>
      <c r="AC47" s="23" cm="1">
        <f t="array" ref="AC47">取角色总属性(AC$39)+基础(AC$39)*取单角色MOD属性($E47,AC$39)</f>
        <v>0.83008</v>
      </c>
      <c r="AD47" s="23" cm="1">
        <f t="array" ref="AD47">取角色总属性(AD$39)+基础(AD$39)*取单角色MOD属性($E47,AD$39)</f>
        <v>2.25</v>
      </c>
      <c r="AE47" s="23" cm="1">
        <f t="array" ref="AE47">取角色总属性(AE$39)+基础(AE$39)*取单角色MOD属性($E47,AE$39)</f>
        <v>0</v>
      </c>
      <c r="AF47" s="23" cm="1">
        <f t="array" ref="AF47">取角色总属性(AF$39)+基础(AF$39)*取单角色MOD属性($E47,AF$39)</f>
        <v>0.24</v>
      </c>
      <c r="AG47" s="23" cm="1">
        <f t="array" ref="AG47">取角色总属性(AG$39)+基础(AG$39)*取单角色MOD属性($E47,AG$39)</f>
        <v>0</v>
      </c>
      <c r="AH47" s="23" cm="1">
        <f t="array" ref="AH47">取角色总属性(AH$39)+基础(AH$39)*取单角色MOD属性($E47,AH$39)</f>
        <v>0</v>
      </c>
      <c r="AV47" t="str">
        <v>鼓舞·散碎</v>
      </c>
      <c r="AX47" t="str">
        <v>攻势·专注</v>
      </c>
    </row>
    <row r="48" customFormat="1" customHeight="1" spans="1:50">
      <c r="A48" s="122" t="s">
        <v>134</v>
      </c>
      <c r="B48" s="89">
        <f>ROUNDUP((C29-B44)/B45*(1+B47),0)</f>
        <v>6</v>
      </c>
      <c r="T48" s="57"/>
      <c r="U48" s="57"/>
      <c r="V48" s="57"/>
      <c r="W48" s="5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V48" t="str">
        <v>羽翼·消逝</v>
      </c>
      <c r="AX48" t="str">
        <v>盛怒·缠缚</v>
      </c>
    </row>
    <row r="49" customFormat="1" customHeight="1" spans="1:50">
      <c r="A49" s="122" t="s">
        <v>135</v>
      </c>
      <c r="B49" s="89">
        <f>B44+(B48-1)*B45/(1+B47)</f>
        <v>11</v>
      </c>
      <c r="D49" s="124" t="s">
        <v>136</v>
      </c>
      <c r="E49" s="131"/>
      <c r="F49" s="132"/>
      <c r="AF49" s="47"/>
      <c r="AG49" s="47"/>
      <c r="AV49" t="str">
        <v>羽翼·散碎</v>
      </c>
      <c r="AX49" t="str">
        <v>迅捷</v>
      </c>
    </row>
    <row r="50" customFormat="1" customHeight="1" spans="1:50">
      <c r="A50" s="122" t="s">
        <v>137</v>
      </c>
      <c r="B50" s="89">
        <f>ROUNDDOWN(B48*B39,0)</f>
        <v>5301328</v>
      </c>
      <c r="D50" s="82" t="s">
        <v>45</v>
      </c>
      <c r="E50" s="24" t="s">
        <v>46</v>
      </c>
      <c r="F50" s="24" t="s">
        <v>138</v>
      </c>
      <c r="G50"/>
      <c r="H50"/>
      <c r="I50"/>
      <c r="J50"/>
      <c r="T50" s="20" t="s">
        <v>124</v>
      </c>
      <c r="U50" s="20" t="s">
        <v>58</v>
      </c>
      <c r="V50" s="20" t="s">
        <v>59</v>
      </c>
      <c r="W50" s="20" t="s">
        <v>60</v>
      </c>
      <c r="X50" s="20" t="s">
        <v>61</v>
      </c>
      <c r="Y50" s="20" t="s">
        <v>62</v>
      </c>
      <c r="Z50" s="20" t="s">
        <v>63</v>
      </c>
      <c r="AA50" s="20" t="s">
        <v>64</v>
      </c>
      <c r="AB50" s="20" t="s">
        <v>65</v>
      </c>
      <c r="AC50" s="20" t="s">
        <v>66</v>
      </c>
      <c r="AD50" s="20" t="s">
        <v>67</v>
      </c>
      <c r="AE50" s="20" t="s">
        <v>68</v>
      </c>
      <c r="AF50" s="18" t="s">
        <v>69</v>
      </c>
      <c r="AG50" s="18" t="s">
        <v>70</v>
      </c>
      <c r="AH50" s="18" t="s">
        <v>71</v>
      </c>
      <c r="AV50" t="str">
        <v>炽灼·羽翼</v>
      </c>
      <c r="AX50" t="str">
        <v>叠影</v>
      </c>
    </row>
    <row r="51" customFormat="1" customHeight="1" spans="1:50">
      <c r="A51" s="122" t="s">
        <v>139</v>
      </c>
      <c r="B51" s="89">
        <f>ROUNDDOWN(B50/B49,0)</f>
        <v>481938</v>
      </c>
      <c r="D51" s="76">
        <f ca="1" t="shared" ref="D51:D57" si="4">(T51-B$39)/B$39</f>
        <v>-0.189969200224374</v>
      </c>
      <c r="E51" s="78" t="s">
        <v>58</v>
      </c>
      <c r="F51" s="91">
        <v>1.2</v>
      </c>
      <c r="T51" s="20" cm="1">
        <f ca="1" t="array" ref="T51">X51*SUM(B$24*U51,B$26*V51,B$25*W51,B$27)*昂扬背水乘区(AB51,AC51)*SUM(1,AD51,AE51)*(1-敌方抗性+AF51)*(1+AG51)/IF($A$39="DPMP",ROUNDUP($B$30*(2-Z51),0),1)/IF($A$39="DPSMP",ROUNDUP($B$31*MAX(0.25,(2-Z51)/Y51),0),1)*防御乘区(AH51)</f>
        <v>715706.604244329</v>
      </c>
      <c r="U51" s="20" cm="1">
        <f ca="1" t="array" ref="U51">(取角色总属性(U$50)+基础(U$50)*IF(U$50=$E51,$F51,0))*(1+取角色总属性("属性伤"))</f>
        <v>6680.36710051837</v>
      </c>
      <c r="V51" s="20" cm="1">
        <f ca="1" t="array" ref="V51">取角色总属性(V$50)+基础(V$50)*IF(V$50=$E51,$F51,0)</f>
        <v>3388.65048</v>
      </c>
      <c r="W51" s="20" cm="1">
        <f ca="1" t="array" ref="W51">取角色总属性(W$50)+基础(W$50)*IF(W$50=$E51,$F51,0)</f>
        <v>971.49024</v>
      </c>
      <c r="X51" s="23" cm="1">
        <f ca="1" t="array" ref="X51">取角色总属性(X$50)+基础(X$50)*IF(X$50=$E51,$F51,0)</f>
        <v>5.92554</v>
      </c>
      <c r="Y51" s="23" cm="1">
        <f ca="1" t="array" ref="Y51">取角色总属性(Y$50)+基础(Y$50)*IF(Y$50=$E51,$F51,0)</f>
        <v>1.2</v>
      </c>
      <c r="Z51" s="23" cm="1">
        <f ca="1" t="array" ref="Z51">取角色总属性(Z$50)+基础(Z$50)*IF(Z$50=$E51,$F51,0)</f>
        <v>0</v>
      </c>
      <c r="AA51" s="23" cm="1">
        <f ca="1" t="array" ref="AA51">取角色总属性(AA$50)+基础(AA$50)*IF(AA$50=$E51,$F51,0)</f>
        <v>1.33594</v>
      </c>
      <c r="AB51" s="23" cm="1">
        <f ca="1" t="array" ref="AB51">取角色总属性(AB$50)+基础(AB$50)*IF(AB$50=$E51,$F51,0)</f>
        <v>0</v>
      </c>
      <c r="AC51" s="23" cm="1">
        <f ca="1" t="array" ref="AC51">取角色总属性(AC$50)+基础(AC$50)*IF(AC$50=$E51,$F51,0)</f>
        <v>0.83008</v>
      </c>
      <c r="AD51" s="23" cm="1">
        <f ca="1" t="array" ref="AD51">取角色总属性(AD$50)+基础(AD$50)*IF(AD$50=$E51,$F51,0)</f>
        <v>2.25</v>
      </c>
      <c r="AE51" s="23" cm="1">
        <f ca="1" t="array" ref="AE51">取角色总属性(AE$50)+基础(AE$50)*IF(AE$50=$E51,$F51,0)</f>
        <v>0</v>
      </c>
      <c r="AF51" s="23" cm="1">
        <f ca="1" t="array" ref="AF51">取角色总属性(AF$50)+基础(AF$50)*IF(AF$50=$E51,$F51,0)</f>
        <v>0.24</v>
      </c>
      <c r="AG51" s="23" cm="1">
        <f ca="1" t="array" ref="AG51">取角色总属性(AG$50)+基础(AG$50)*IF(AG$50=$E51,$F51,0)</f>
        <v>0</v>
      </c>
      <c r="AH51" s="23" cm="1">
        <f ca="1" t="array" ref="AH51">取角色总属性(AH$50)+基础(AH$50)*IF(AH$50=$E51,$F51,0)</f>
        <v>0</v>
      </c>
      <c r="AV51" t="str">
        <v>涅槃·庇佑</v>
      </c>
      <c r="AX51" t="str">
        <v>锋锐</v>
      </c>
    </row>
    <row r="52" customFormat="1" customHeight="1" spans="4:50">
      <c r="D52" s="76">
        <f ca="1" t="shared" si="4"/>
        <v>-0.200859829780652</v>
      </c>
      <c r="E52" s="78" t="s">
        <v>61</v>
      </c>
      <c r="F52" s="91">
        <v>0.48</v>
      </c>
      <c r="T52" s="20" cm="1">
        <f ca="1" t="array" ref="T52">X52*SUM(B$24*U52,B$26*V52,B$25*W52,B$27)*昂扬背水乘区(AB52,AC52)*SUM(1,AD52,AE52)*(1-敌方抗性+AF52)*(1+AG52)/IF($A$39="DPMP",ROUNDUP($B$30*(2-Z52),0),1)/IF($A$39="DPSMP",ROUNDUP($B$31*MAX(0.25,(2-Z52)/Y52),0),1)*防御乘区(AH52)</f>
        <v>706084.136185132</v>
      </c>
      <c r="U52" s="20" cm="1">
        <f ca="1" t="array" ref="U52">(取角色总属性(U$50)+基础(U$50)*IF(U$50=$E52,$F52,0))*(1+取角色总属性("属性伤"))</f>
        <v>6096.68763763837</v>
      </c>
      <c r="V52" s="20" cm="1">
        <f ca="1" t="array" ref="V52">取角色总属性(V$50)+基础(V$50)*IF(V$50=$E52,$F52,0)</f>
        <v>3388.65048</v>
      </c>
      <c r="W52" s="20" cm="1">
        <f ca="1" t="array" ref="W52">取角色总属性(W$50)+基础(W$50)*IF(W$50=$E52,$F52,0)</f>
        <v>971.49024</v>
      </c>
      <c r="X52" s="23" cm="1">
        <f ca="1" t="array" ref="X52">取角色总属性(X$50)+基础(X$50)*IF(X$50=$E52,$F52,0)</f>
        <v>6.40554</v>
      </c>
      <c r="Y52" s="23" cm="1">
        <f ca="1" t="array" ref="Y52">取角色总属性(Y$50)+基础(Y$50)*IF(Y$50=$E52,$F52,0)</f>
        <v>1.2</v>
      </c>
      <c r="Z52" s="23" cm="1">
        <f ca="1" t="array" ref="Z52">取角色总属性(Z$50)+基础(Z$50)*IF(Z$50=$E52,$F52,0)</f>
        <v>0</v>
      </c>
      <c r="AA52" s="23" cm="1">
        <f ca="1" t="array" ref="AA52">取角色总属性(AA$50)+基础(AA$50)*IF(AA$50=$E52,$F52,0)</f>
        <v>1.33594</v>
      </c>
      <c r="AB52" s="23" cm="1">
        <f ca="1" t="array" ref="AB52">取角色总属性(AB$50)+基础(AB$50)*IF(AB$50=$E52,$F52,0)</f>
        <v>0</v>
      </c>
      <c r="AC52" s="23" cm="1">
        <f ca="1" t="array" ref="AC52">取角色总属性(AC$50)+基础(AC$50)*IF(AC$50=$E52,$F52,0)</f>
        <v>0.83008</v>
      </c>
      <c r="AD52" s="23" cm="1">
        <f ca="1" t="array" ref="AD52">取角色总属性(AD$50)+基础(AD$50)*IF(AD$50=$E52,$F52,0)</f>
        <v>2.25</v>
      </c>
      <c r="AE52" s="23" cm="1">
        <f ca="1" t="array" ref="AE52">取角色总属性(AE$50)+基础(AE$50)*IF(AE$50=$E52,$F52,0)</f>
        <v>0</v>
      </c>
      <c r="AF52" s="23" cm="1">
        <f ca="1" t="array" ref="AF52">取角色总属性(AF$50)+基础(AF$50)*IF(AF$50=$E52,$F52,0)</f>
        <v>0.24</v>
      </c>
      <c r="AG52" s="23" cm="1">
        <f ca="1" t="array" ref="AG52">取角色总属性(AG$50)+基础(AG$50)*IF(AG$50=$E52,$F52,0)</f>
        <v>0</v>
      </c>
      <c r="AH52" s="23" cm="1">
        <f ca="1" t="array" ref="AH52">取角色总属性(AH$50)+基础(AH$50)*IF(AH$50=$E52,$F52,0)</f>
        <v>0</v>
      </c>
      <c r="AV52" t="str">
        <v>炽灼·涅槃</v>
      </c>
      <c r="AX52" t="str">
        <v>透析</v>
      </c>
    </row>
    <row r="53" customFormat="1" customHeight="1" spans="4:50">
      <c r="D53" s="76">
        <f ca="1" t="shared" si="4"/>
        <v>-0.2607435057401</v>
      </c>
      <c r="E53" s="78" t="s">
        <v>62</v>
      </c>
      <c r="F53" s="91">
        <v>0.36</v>
      </c>
      <c r="T53" s="20" cm="1">
        <f ca="1" t="array" ref="T53">X53*SUM(B$24*U53,B$26*V53,B$25*W53,B$27)*昂扬背水乘区(AB53,AC53)*SUM(1,AD53,AE53)*(1-敌方抗性+AF53)*(1+AG53)/IF($A$39="DPMP",ROUNDUP($B$30*(2-Z53),0),1)/IF($A$39="DPSMP",ROUNDUP($B$31*MAX(0.25,(2-Z53)/Y53),0),1)*防御乘区(AH53)</f>
        <v>653173.62663108</v>
      </c>
      <c r="U53" s="20" cm="1">
        <f ca="1" t="array" ref="U53">(取角色总属性(U$50)+基础(U$50)*IF(U$50=$E53,$F53,0))*(1+取角色总属性("属性伤"))</f>
        <v>6096.68763763837</v>
      </c>
      <c r="V53" s="20" cm="1">
        <f ca="1" t="array" ref="V53">取角色总属性(V$50)+基础(V$50)*IF(V$50=$E53,$F53,0)</f>
        <v>3388.65048</v>
      </c>
      <c r="W53" s="20" cm="1">
        <f ca="1" t="array" ref="W53">取角色总属性(W$50)+基础(W$50)*IF(W$50=$E53,$F53,0)</f>
        <v>971.49024</v>
      </c>
      <c r="X53" s="23" cm="1">
        <f ca="1" t="array" ref="X53">取角色总属性(X$50)+基础(X$50)*IF(X$50=$E53,$F53,0)</f>
        <v>5.92554</v>
      </c>
      <c r="Y53" s="23" cm="1">
        <f ca="1" t="array" ref="Y53">取角色总属性(Y$50)+基础(Y$50)*IF(Y$50=$E53,$F53,0)</f>
        <v>1.56</v>
      </c>
      <c r="Z53" s="23" cm="1">
        <f ca="1" t="array" ref="Z53">取角色总属性(Z$50)+基础(Z$50)*IF(Z$50=$E53,$F53,0)</f>
        <v>0</v>
      </c>
      <c r="AA53" s="23" cm="1">
        <f ca="1" t="array" ref="AA53">取角色总属性(AA$50)+基础(AA$50)*IF(AA$50=$E53,$F53,0)</f>
        <v>1.33594</v>
      </c>
      <c r="AB53" s="23" cm="1">
        <f ca="1" t="array" ref="AB53">取角色总属性(AB$50)+基础(AB$50)*IF(AB$50=$E53,$F53,0)</f>
        <v>0</v>
      </c>
      <c r="AC53" s="23" cm="1">
        <f ca="1" t="array" ref="AC53">取角色总属性(AC$50)+基础(AC$50)*IF(AC$50=$E53,$F53,0)</f>
        <v>0.83008</v>
      </c>
      <c r="AD53" s="23" cm="1">
        <f ca="1" t="array" ref="AD53">取角色总属性(AD$50)+基础(AD$50)*IF(AD$50=$E53,$F53,0)</f>
        <v>2.25</v>
      </c>
      <c r="AE53" s="23" cm="1">
        <f ca="1" t="array" ref="AE53">取角色总属性(AE$50)+基础(AE$50)*IF(AE$50=$E53,$F53,0)</f>
        <v>0</v>
      </c>
      <c r="AF53" s="23" cm="1">
        <f ca="1" t="array" ref="AF53">取角色总属性(AF$50)+基础(AF$50)*IF(AF$50=$E53,$F53,0)</f>
        <v>0.24</v>
      </c>
      <c r="AG53" s="23" cm="1">
        <f ca="1" t="array" ref="AG53">取角色总属性(AG$50)+基础(AG$50)*IF(AG$50=$E53,$F53,0)</f>
        <v>0</v>
      </c>
      <c r="AH53" s="23" cm="1">
        <f ca="1" t="array" ref="AH53">取角色总属性(AH$50)+基础(AH$50)*IF(AH$50=$E53,$F53,0)</f>
        <v>0</v>
      </c>
      <c r="AV53" t="str">
        <v>炽灼·庇佑</v>
      </c>
      <c r="AX53" t="str">
        <v>重压</v>
      </c>
    </row>
    <row r="54" customFormat="1" customHeight="1" spans="4:50">
      <c r="D54" s="76">
        <f ca="1" t="shared" si="4"/>
        <v>-0.2607435057401</v>
      </c>
      <c r="E54" s="78" t="s">
        <v>63</v>
      </c>
      <c r="F54" s="91">
        <v>0.24</v>
      </c>
      <c r="T54" s="20" cm="1">
        <f ca="1" t="array" ref="T54">X54*SUM(B$24*U54,B$26*V54,B$25*W54,B$27)*昂扬背水乘区(AB54,AC54)*SUM(1,AD54,AE54)*(1-敌方抗性+AF54)*(1+AG54)/IF($A$39="DPMP",ROUNDUP($B$30*(2-Z54),0),1)/IF($A$39="DPSMP",ROUNDUP($B$31*MAX(0.25,(2-Z54)/Y54),0),1)*防御乘区(AH54)</f>
        <v>653173.62663108</v>
      </c>
      <c r="U54" s="20" cm="1">
        <f ca="1" t="array" ref="U54">(取角色总属性(U$50)+基础(U$50)*IF(U$50=$E54,$F54,0))*(1+取角色总属性("属性伤"))</f>
        <v>6096.68763763837</v>
      </c>
      <c r="V54" s="20" cm="1">
        <f ca="1" t="array" ref="V54">取角色总属性(V$50)+基础(V$50)*IF(V$50=$E54,$F54,0)</f>
        <v>3388.65048</v>
      </c>
      <c r="W54" s="20" cm="1">
        <f ca="1" t="array" ref="W54">取角色总属性(W$50)+基础(W$50)*IF(W$50=$E54,$F54,0)</f>
        <v>971.49024</v>
      </c>
      <c r="X54" s="23" cm="1">
        <f ca="1" t="array" ref="X54">取角色总属性(X$50)+基础(X$50)*IF(X$50=$E54,$F54,0)</f>
        <v>5.92554</v>
      </c>
      <c r="Y54" s="23" cm="1">
        <f ca="1" t="array" ref="Y54">取角色总属性(Y$50)+基础(Y$50)*IF(Y$50=$E54,$F54,0)</f>
        <v>1.2</v>
      </c>
      <c r="Z54" s="23" cm="1">
        <f ca="1" t="array" ref="Z54">取角色总属性(Z$50)+基础(Z$50)*IF(Z$50=$E54,$F54,0)</f>
        <v>0.24</v>
      </c>
      <c r="AA54" s="23" cm="1">
        <f ca="1" t="array" ref="AA54">取角色总属性(AA$50)+基础(AA$50)*IF(AA$50=$E54,$F54,0)</f>
        <v>1.33594</v>
      </c>
      <c r="AB54" s="23" cm="1">
        <f ca="1" t="array" ref="AB54">取角色总属性(AB$50)+基础(AB$50)*IF(AB$50=$E54,$F54,0)</f>
        <v>0</v>
      </c>
      <c r="AC54" s="23" cm="1">
        <f ca="1" t="array" ref="AC54">取角色总属性(AC$50)+基础(AC$50)*IF(AC$50=$E54,$F54,0)</f>
        <v>0.83008</v>
      </c>
      <c r="AD54" s="23" cm="1">
        <f ca="1" t="array" ref="AD54">取角色总属性(AD$50)+基础(AD$50)*IF(AD$50=$E54,$F54,0)</f>
        <v>2.25</v>
      </c>
      <c r="AE54" s="23" cm="1">
        <f ca="1" t="array" ref="AE54">取角色总属性(AE$50)+基础(AE$50)*IF(AE$50=$E54,$F54,0)</f>
        <v>0</v>
      </c>
      <c r="AF54" s="23" cm="1">
        <f ca="1" t="array" ref="AF54">取角色总属性(AF$50)+基础(AF$50)*IF(AF$50=$E54,$F54,0)</f>
        <v>0.24</v>
      </c>
      <c r="AG54" s="23" cm="1">
        <f ca="1" t="array" ref="AG54">取角色总属性(AG$50)+基础(AG$50)*IF(AG$50=$E54,$F54,0)</f>
        <v>0</v>
      </c>
      <c r="AH54" s="23" cm="1">
        <f ca="1" t="array" ref="AH54">取角色总属性(AH$50)+基础(AH$50)*IF(AH$50=$E54,$F54,0)</f>
        <v>0</v>
      </c>
      <c r="AV54" t="str">
        <v>炽灼·坚守</v>
      </c>
      <c r="AX54" t="str">
        <v>攻势</v>
      </c>
    </row>
    <row r="55" customFormat="1" customHeight="1" spans="4:50">
      <c r="D55" s="76">
        <f ca="1" t="shared" si="4"/>
        <v>-0.2607435057401</v>
      </c>
      <c r="E55" s="78" t="s">
        <v>64</v>
      </c>
      <c r="F55" s="91">
        <v>0.72</v>
      </c>
      <c r="T55" s="20" cm="1">
        <f ca="1" t="array" ref="T55">X55*SUM(B$24*U55,B$26*V55,B$25*W55,B$27)*昂扬背水乘区(AB55,AC55)*SUM(1,AD55,AE55)*(1-敌方抗性+AF55)*(1+AG55)/IF($A$39="DPMP",ROUNDUP($B$30*(2-Z55),0),1)/IF($A$39="DPSMP",ROUNDUP($B$31*MAX(0.25,(2-Z55)/Y55),0),1)*防御乘区(AH55)</f>
        <v>653173.62663108</v>
      </c>
      <c r="U55" s="20" cm="1">
        <f ca="1" t="array" ref="U55">(取角色总属性(U$50)+基础(U$50)*IF(U$50=$E55,$F55,0))*(1+取角色总属性("属性伤"))</f>
        <v>6096.68763763837</v>
      </c>
      <c r="V55" s="20" cm="1">
        <f ca="1" t="array" ref="V55">取角色总属性(V$50)+基础(V$50)*IF(V$50=$E55,$F55,0)</f>
        <v>3388.65048</v>
      </c>
      <c r="W55" s="20" cm="1">
        <f ca="1" t="array" ref="W55">取角色总属性(W$50)+基础(W$50)*IF(W$50=$E55,$F55,0)</f>
        <v>971.49024</v>
      </c>
      <c r="X55" s="23" cm="1">
        <f ca="1" t="array" ref="X55">取角色总属性(X$50)+基础(X$50)*IF(X$50=$E55,$F55,0)</f>
        <v>5.92554</v>
      </c>
      <c r="Y55" s="23" cm="1">
        <f ca="1" t="array" ref="Y55">取角色总属性(Y$50)+基础(Y$50)*IF(Y$50=$E55,$F55,0)</f>
        <v>1.2</v>
      </c>
      <c r="Z55" s="23" cm="1">
        <f ca="1" t="array" ref="Z55">取角色总属性(Z$50)+基础(Z$50)*IF(Z$50=$E55,$F55,0)</f>
        <v>0</v>
      </c>
      <c r="AA55" s="23" cm="1">
        <f ca="1" t="array" ref="AA55">取角色总属性(AA$50)+基础(AA$50)*IF(AA$50=$E55,$F55,0)</f>
        <v>2.05594</v>
      </c>
      <c r="AB55" s="23" cm="1">
        <f ca="1" t="array" ref="AB55">取角色总属性(AB$50)+基础(AB$50)*IF(AB$50=$E55,$F55,0)</f>
        <v>0</v>
      </c>
      <c r="AC55" s="23" cm="1">
        <f ca="1" t="array" ref="AC55">取角色总属性(AC$50)+基础(AC$50)*IF(AC$50=$E55,$F55,0)</f>
        <v>0.83008</v>
      </c>
      <c r="AD55" s="23" cm="1">
        <f ca="1" t="array" ref="AD55">取角色总属性(AD$50)+基础(AD$50)*IF(AD$50=$E55,$F55,0)</f>
        <v>2.25</v>
      </c>
      <c r="AE55" s="23" cm="1">
        <f ca="1" t="array" ref="AE55">取角色总属性(AE$50)+基础(AE$50)*IF(AE$50=$E55,$F55,0)</f>
        <v>0</v>
      </c>
      <c r="AF55" s="23" cm="1">
        <f ca="1" t="array" ref="AF55">取角色总属性(AF$50)+基础(AF$50)*IF(AF$50=$E55,$F55,0)</f>
        <v>0.24</v>
      </c>
      <c r="AG55" s="23" cm="1">
        <f ca="1" t="array" ref="AG55">取角色总属性(AG$50)+基础(AG$50)*IF(AG$50=$E55,$F55,0)</f>
        <v>0</v>
      </c>
      <c r="AH55" s="23" cm="1">
        <f ca="1" t="array" ref="AH55">取角色总属性(AH$50)+基础(AH$50)*IF(AH$50=$E55,$F55,0)</f>
        <v>0</v>
      </c>
      <c r="AV55" t="str">
        <v>涅槃·羽翼</v>
      </c>
      <c r="AX55" t="str">
        <v>盛怒·缠缚</v>
      </c>
    </row>
    <row r="56" customFormat="1" customHeight="1" spans="4:48">
      <c r="D56" s="76">
        <f ca="1" t="shared" si="4"/>
        <v>-0.258525736257321</v>
      </c>
      <c r="E56" s="78" t="s">
        <v>65</v>
      </c>
      <c r="F56" s="91">
        <v>0.3</v>
      </c>
      <c r="T56" s="20" cm="1">
        <f ca="1" t="array" ref="T56">X56*SUM(B$24*U56,B$26*V56,B$25*W56,B$27)*昂扬背水乘区(AB56,AC56)*SUM(1,AD56,AE56)*(1-敌方抗性+AF56)*(1+AG56)/IF($A$39="DPMP",ROUNDUP($B$30*(2-Z56),0),1)/IF($A$39="DPSMP",ROUNDUP($B$31*MAX(0.25,(2-Z56)/Y56),0),1)*防御乘区(AH56)</f>
        <v>655133.147510974</v>
      </c>
      <c r="U56" s="20" cm="1">
        <f ca="1" t="array" ref="U56">(取角色总属性(U$50)+基础(U$50)*IF(U$50=$E56,$F56,0))*(1+取角色总属性("属性伤"))</f>
        <v>6096.68763763837</v>
      </c>
      <c r="V56" s="20" cm="1">
        <f ca="1" t="array" ref="V56">取角色总属性(V$50)+基础(V$50)*IF(V$50=$E56,$F56,0)</f>
        <v>3388.65048</v>
      </c>
      <c r="W56" s="20" cm="1">
        <f ca="1" t="array" ref="W56">取角色总属性(W$50)+基础(W$50)*IF(W$50=$E56,$F56,0)</f>
        <v>971.49024</v>
      </c>
      <c r="X56" s="23" cm="1">
        <f ca="1" t="array" ref="X56">取角色总属性(X$50)+基础(X$50)*IF(X$50=$E56,$F56,0)</f>
        <v>5.92554</v>
      </c>
      <c r="Y56" s="23" cm="1">
        <f ca="1" t="array" ref="Y56">取角色总属性(Y$50)+基础(Y$50)*IF(Y$50=$E56,$F56,0)</f>
        <v>1.2</v>
      </c>
      <c r="Z56" s="23" cm="1">
        <f ca="1" t="array" ref="Z56">取角色总属性(Z$50)+基础(Z$50)*IF(Z$50=$E56,$F56,0)</f>
        <v>0</v>
      </c>
      <c r="AA56" s="23" cm="1">
        <f ca="1" t="array" ref="AA56">取角色总属性(AA$50)+基础(AA$50)*IF(AA$50=$E56,$F56,0)</f>
        <v>1.33594</v>
      </c>
      <c r="AB56" s="23" cm="1">
        <f ca="1" t="array" ref="AB56">取角色总属性(AB$50)+基础(AB$50)*IF(AB$50=$E56,$F56,0)</f>
        <v>0.3</v>
      </c>
      <c r="AC56" s="23" cm="1">
        <f ca="1" t="array" ref="AC56">取角色总属性(AC$50)+基础(AC$50)*IF(AC$50=$E56,$F56,0)</f>
        <v>0.83008</v>
      </c>
      <c r="AD56" s="23" cm="1">
        <f ca="1" t="array" ref="AD56">取角色总属性(AD$50)+基础(AD$50)*IF(AD$50=$E56,$F56,0)</f>
        <v>2.25</v>
      </c>
      <c r="AE56" s="23" cm="1">
        <f ca="1" t="array" ref="AE56">取角色总属性(AE$50)+基础(AE$50)*IF(AE$50=$E56,$F56,0)</f>
        <v>0</v>
      </c>
      <c r="AF56" s="23" cm="1">
        <f ca="1" t="array" ref="AF56">取角色总属性(AF$50)+基础(AF$50)*IF(AF$50=$E56,$F56,0)</f>
        <v>0.24</v>
      </c>
      <c r="AG56" s="23" cm="1">
        <f ca="1" t="array" ref="AG56">取角色总属性(AG$50)+基础(AG$50)*IF(AG$50=$E56,$F56,0)</f>
        <v>0</v>
      </c>
      <c r="AH56" s="23" cm="1">
        <f ca="1" t="array" ref="AH56">取角色总属性(AH$50)+基础(AH$50)*IF(AH$50=$E56,$F56,0)</f>
        <v>0</v>
      </c>
      <c r="AV56" t="str">
        <v>涅槃·坚守</v>
      </c>
    </row>
    <row r="57" customFormat="1" customHeight="1" spans="4:48">
      <c r="D57" s="76">
        <f ca="1" t="shared" si="4"/>
        <v>-0.193339016013524</v>
      </c>
      <c r="E57" s="78" t="s">
        <v>66</v>
      </c>
      <c r="F57" s="91">
        <v>0.1</v>
      </c>
      <c r="T57" s="20" cm="1">
        <f ca="1" t="array" ref="T57">X57*SUM(B$24*U57,B$26*V57,B$25*W57,B$27)*昂扬背水乘区(AB57,AC57)*SUM(1,AD57,AE57)*(1-敌方抗性+AF57)*(1+AG57)/IF($A$39="DPMP",ROUNDUP($B$30*(2-Z57),0),1)/IF($A$39="DPSMP",ROUNDUP($B$31*MAX(0.25,(2-Z57)/Y57),0),1)*防御乘区(AH57)</f>
        <v>712729.187316417</v>
      </c>
      <c r="U57" s="20" cm="1">
        <f ca="1" t="array" ref="U57">(取角色总属性(U$50)+基础(U$50)*IF(U$50=$E57,$F57,0))*(1+取角色总属性("属性伤"))</f>
        <v>6096.68763763837</v>
      </c>
      <c r="V57" s="20" cm="1">
        <f ca="1" t="array" ref="V57">取角色总属性(V$50)+基础(V$50)*IF(V$50=$E57,$F57,0)</f>
        <v>3388.65048</v>
      </c>
      <c r="W57" s="20" cm="1">
        <f ca="1" t="array" ref="W57">取角色总属性(W$50)+基础(W$50)*IF(W$50=$E57,$F57,0)</f>
        <v>971.49024</v>
      </c>
      <c r="X57" s="23" cm="1">
        <f ca="1" t="array" ref="X57">取角色总属性(X$50)+基础(X$50)*IF(X$50=$E57,$F57,0)</f>
        <v>5.92554</v>
      </c>
      <c r="Y57" s="23" cm="1">
        <f ca="1" t="array" ref="Y57">取角色总属性(Y$50)+基础(Y$50)*IF(Y$50=$E57,$F57,0)</f>
        <v>1.2</v>
      </c>
      <c r="Z57" s="23" cm="1">
        <f ca="1" t="array" ref="Z57">取角色总属性(Z$50)+基础(Z$50)*IF(Z$50=$E57,$F57,0)</f>
        <v>0</v>
      </c>
      <c r="AA57" s="23" cm="1">
        <f ca="1" t="array" ref="AA57">取角色总属性(AA$50)+基础(AA$50)*IF(AA$50=$E57,$F57,0)</f>
        <v>1.33594</v>
      </c>
      <c r="AB57" s="23" cm="1">
        <f ca="1" t="array" ref="AB57">取角色总属性(AB$50)+基础(AB$50)*IF(AB$50=$E57,$F57,0)</f>
        <v>0</v>
      </c>
      <c r="AC57" s="23" cm="1">
        <f ca="1" t="array" ref="AC57">取角色总属性(AC$50)+基础(AC$50)*IF(AC$50=$E57,$F57,0)</f>
        <v>0.93008</v>
      </c>
      <c r="AD57" s="23" cm="1">
        <f ca="1" t="array" ref="AD57">取角色总属性(AD$50)+基础(AD$50)*IF(AD$50=$E57,$F57,0)</f>
        <v>2.25</v>
      </c>
      <c r="AE57" s="23" cm="1">
        <f ca="1" t="array" ref="AE57">取角色总属性(AE$50)+基础(AE$50)*IF(AE$50=$E57,$F57,0)</f>
        <v>0</v>
      </c>
      <c r="AF57" s="23" cm="1">
        <f ca="1" t="array" ref="AF57">取角色总属性(AF$50)+基础(AF$50)*IF(AF$50=$E57,$F57,0)</f>
        <v>0.24</v>
      </c>
      <c r="AG57" s="23" cm="1">
        <f ca="1" t="array" ref="AG57">取角色总属性(AG$50)+基础(AG$50)*IF(AG$50=$E57,$F57,0)</f>
        <v>0</v>
      </c>
      <c r="AH57" s="23" cm="1">
        <f ca="1" t="array" ref="AH57">取角色总属性(AH$50)+基础(AH$50)*IF(AH$50=$E57,$F57,0)</f>
        <v>0</v>
      </c>
      <c r="AV57" t="str">
        <v>庇佑·羽翼</v>
      </c>
    </row>
    <row r="58" customFormat="1" customHeight="1" spans="48:48">
      <c r="AV58" t="str">
        <v>庇佑·坚守</v>
      </c>
    </row>
    <row r="59" spans="20:48">
      <c r="T59" s="20" t="s">
        <v>57</v>
      </c>
      <c r="U59" s="20" t="s">
        <v>58</v>
      </c>
      <c r="V59" s="20" t="s">
        <v>59</v>
      </c>
      <c r="W59" s="20" t="s">
        <v>60</v>
      </c>
      <c r="X59" s="20" t="s">
        <v>61</v>
      </c>
      <c r="Y59" s="20" t="s">
        <v>62</v>
      </c>
      <c r="Z59" s="20" t="s">
        <v>63</v>
      </c>
      <c r="AA59" s="20" t="s">
        <v>64</v>
      </c>
      <c r="AB59" s="20" t="s">
        <v>65</v>
      </c>
      <c r="AC59" s="20" t="s">
        <v>66</v>
      </c>
      <c r="AD59" s="20" t="s">
        <v>67</v>
      </c>
      <c r="AE59" s="20" t="s">
        <v>68</v>
      </c>
      <c r="AF59" s="18" t="s">
        <v>69</v>
      </c>
      <c r="AG59" s="18" t="s">
        <v>70</v>
      </c>
      <c r="AH59" s="18" t="s">
        <v>71</v>
      </c>
      <c r="AV59" t="str">
        <v>羽翼·坚守</v>
      </c>
    </row>
    <row r="60" ht="18" spans="1:48">
      <c r="A60" s="125" t="s">
        <v>140</v>
      </c>
      <c r="B60" s="126" t="s">
        <v>141</v>
      </c>
      <c r="C60" s="125" t="s">
        <v>142</v>
      </c>
      <c r="D60" s="126">
        <v>5</v>
      </c>
      <c r="E60" s="125" t="s">
        <v>45</v>
      </c>
      <c r="F60" s="133">
        <f>(B$39-T60)/T60</f>
        <v>0.488423035508559</v>
      </c>
      <c r="G60" s="134" t="s">
        <v>143</v>
      </c>
      <c r="H60" s="125" t="str" cm="1">
        <f t="array" ref="H60">IFERROR(INDEX(近战武器表[#Headers],SMALL(_xlfn._xlws.FILTER(COLUMN(_xlfn.DROP(INDEX(近战武器表[],MATCH(近战武器,近战武器表[名称],0),),,7))*(_xlfn.DROP(INDEX(近战武器表[],MATCH(近战武器,近战武器表[名称],0),),,7)&lt;&gt;""),COLUMN(_xlfn.DROP(INDEX(近战武器表[],MATCH(近战武器,近战武器表[名称],0),),,7))*(_xlfn.DROP(INDEX(近战武器表[],MATCH(近战武器,近战武器表[名称],0),),,7)&lt;&gt;"")&lt;&gt;0),1)),"")</f>
        <v>基础暴伤</v>
      </c>
      <c r="I60" s="135" cm="1">
        <f t="array" ref="I60">IFERROR((5+$D$60)/10*INDEX(INDEX(近战武器表[],MATCH(近战武器,近战武器表[名称],0),),SMALL(_xlfn._xlws.FILTER(COLUMN(_xlfn.DROP(INDEX(近战武器表[],MATCH(近战武器,近战武器表[名称],0),),,7))*(_xlfn.DROP(INDEX(近战武器表[],MATCH(近战武器,近战武器表[名称],0),),,7)&lt;&gt;""),COLUMN(_xlfn.DROP(INDEX(近战武器表[],MATCH(近战武器,近战武器表[名称],0),),,7))*(_xlfn.DROP(INDEX(近战武器表[],MATCH(近战武器,近战武器表[名称],0),),,7)&lt;&gt;"")&lt;&gt;0),1)),IFERROR((5+$D$60)/10*INDEX(INDEX(近战武器表[],MATCH(近战武器,近战武器表[名称],0),),SMALL(_xlfn._xlws.FILTER(COLUMN(_xlfn.DROP(INDEX(近战武器表[],MATCH(近战武器,近战武器表[名称],0),),,7))*(_xlfn.DROP(INDEX(近战武器表[],MATCH(近战武器,近战武器表[名称],0),),,7)&lt;&gt;""),COLUMN(_xlfn.DROP(INDEX(近战武器表[],MATCH(近战武器,近战武器表[名称],0),),,7))*(_xlfn.DROP(INDEX(近战武器表[],MATCH(近战武器,近战武器表[名称],0),),,7)&lt;&gt;"")&lt;&gt;0),1)),""))</f>
        <v>2.5</v>
      </c>
      <c r="J60" s="125" t="str" cm="1">
        <f t="array" ref="J60">IFERROR(INDEX(近战武器表[#Headers],SMALL(_xlfn._xlws.FILTER(COLUMN(_xlfn.DROP(INDEX(近战武器表[],MATCH(近战武器,近战武器表[名称],0),),,7))*(_xlfn.DROP(INDEX(近战武器表[],MATCH(近战武器,近战武器表[名称],0),),,7)&lt;&gt;""),COLUMN(_xlfn.DROP(INDEX(近战武器表[],MATCH(近战武器,近战武器表[名称],0),),,7))*(_xlfn.DROP(INDEX(近战武器表[],MATCH(近战武器,近战武器表[名称],0),),,7)&lt;&gt;"")&lt;&gt;0),2)),"")</f>
        <v>基础触发</v>
      </c>
      <c r="K60" s="135" cm="1">
        <f t="array" ref="K60">IFERROR((5+$D$60)/10*INDEX(INDEX(近战武器表[],MATCH(近战武器,近战武器表[名称],0),),SMALL(_xlfn._xlws.FILTER(COLUMN(_xlfn.DROP(INDEX(近战武器表[],MATCH(近战武器,近战武器表[名称],0),),,7))*(_xlfn.DROP(INDEX(近战武器表[],MATCH(近战武器,近战武器表[名称],0),),,7)&lt;&gt;""),COLUMN(_xlfn.DROP(INDEX(近战武器表[],MATCH(近战武器,近战武器表[名称],0),),,7))*(_xlfn.DROP(INDEX(近战武器表[],MATCH(近战武器,近战武器表[名称],0),),,7)&lt;&gt;"")&lt;&gt;0),2)),IFERROR((5+$D$60)/10*INDEX(INDEX(近战武器表[],MATCH(近战武器,近战武器表[名称],0),),SMALL(_xlfn._xlws.FILTER(COLUMN(_xlfn.DROP(INDEX(近战武器表[],MATCH(近战武器,近战武器表[名称],0),),,7))*(_xlfn.DROP(INDEX(近战武器表[],MATCH(近战武器,近战武器表[名称],0),),,7)&lt;&gt;""),COLUMN(_xlfn.DROP(INDEX(近战武器表[],MATCH(近战武器,近战武器表[名称],0),),,7))*(_xlfn.DROP(INDEX(近战武器表[],MATCH(近战武器,近战武器表[名称],0),),,7)&lt;&gt;"")&lt;&gt;0),2)),""))</f>
        <v>0.1</v>
      </c>
      <c r="T60" s="20" cm="1">
        <f t="array" ref="T60">X60*SUM(B$24*U60,B$26*V60,B$25*W60,B$27)*昂扬背水乘区(AB60,AC60)*SUM(1,AD60,AE60)*(1-敌方抗性+AF60)*(1+AG60)/IF($A$39="DPMP",ROUNDUP($B$30*(2-Z60),0),1)/IF($A$39="DPSMP",ROUNDUP($B$31*MAX(0.25,(2-Z60)/Y60),0),1)*防御乘区(AH60)</f>
        <v>593618.065945743</v>
      </c>
      <c r="U60" s="20" cm="1">
        <f t="array" ref="U60">(取角色总属性(U$59)-基础(U$59)*取近战属性(U$59))*(1+取角色总属性("属性伤"))</f>
        <v>6096.68763763837</v>
      </c>
      <c r="V60" s="20" cm="1">
        <f t="array" ref="V60">取角色总属性(V$59)-基础(V$59)*取近战属性(V$59)</f>
        <v>3388.65048</v>
      </c>
      <c r="W60" s="20" cm="1">
        <f t="array" ref="W60">取角色总属性(W$59)-基础(W$59)*取近战属性(W$59)</f>
        <v>971.49024</v>
      </c>
      <c r="X60" s="23" cm="1">
        <f t="array" ref="X60">取角色总属性(X$59)-基础(X$59)*取近战属性(X$59)</f>
        <v>5.92554</v>
      </c>
      <c r="Y60" s="23" cm="1">
        <f t="array" ref="Y60">取角色总属性(Y$59)-基础(Y$59)*取近战属性(Y$59)</f>
        <v>1.2</v>
      </c>
      <c r="Z60" s="23" cm="1">
        <f t="array" ref="Z60">取角色总属性(Z$59)-基础(Z$59)*取近战属性(Z$59)</f>
        <v>0</v>
      </c>
      <c r="AA60" s="23" cm="1">
        <f t="array" ref="AA60">取角色总属性(AA$59)-基础(AA$59)*取近战属性(AA$59)</f>
        <v>1.33594</v>
      </c>
      <c r="AB60" s="23" cm="1">
        <f t="array" ref="AB60">取角色总属性(AB$59)-基础(AB$59)*取近战属性(AB$59)</f>
        <v>0</v>
      </c>
      <c r="AC60" s="23" cm="1">
        <f t="array" ref="AC60">取角色总属性(AC$59)-基础(AC$59)*取近战属性(AC$59)</f>
        <v>0.73008</v>
      </c>
      <c r="AD60" s="23" cm="1">
        <f t="array" ref="AD60">取角色总属性(AD$59)-基础(AD$59)*取近战属性(AD$59)</f>
        <v>2.25</v>
      </c>
      <c r="AE60" s="23" cm="1">
        <f t="array" ref="AE60">取角色总属性(AE$59)-基础(AE$59)*取近战属性(AE$59)</f>
        <v>0</v>
      </c>
      <c r="AF60" s="23" cm="1">
        <f t="array" ref="AF60">取角色总属性(AF$59)-基础(AF$59)*取近战属性(AF$59)</f>
        <v>0.24</v>
      </c>
      <c r="AG60" s="23" cm="1">
        <f t="array" ref="AG60">取角色总属性(AG$59)-基础(AG$59)*取近战属性(AG$59)</f>
        <v>0</v>
      </c>
      <c r="AH60" s="23" cm="1">
        <f t="array" ref="AH60">取角色总属性(AH$59)-基础(AH$59)*取近战属性(AH$59)</f>
        <v>0</v>
      </c>
      <c r="AV60" t="str">
        <v>腾跃</v>
      </c>
    </row>
    <row r="61" spans="1:48">
      <c r="A61" s="127" t="s">
        <v>144</v>
      </c>
      <c r="B61" s="128"/>
      <c r="C61" s="129"/>
      <c r="D61" s="130" t="s">
        <v>145</v>
      </c>
      <c r="E61" s="130"/>
      <c r="F61" s="130"/>
      <c r="G61" s="130"/>
      <c r="H61" s="130"/>
      <c r="I61" s="130"/>
      <c r="J61" s="130"/>
      <c r="K61" s="130"/>
      <c r="L61" s="130"/>
      <c r="M61" s="130"/>
      <c r="N61" s="130"/>
      <c r="O61" s="130"/>
      <c r="P61" s="130"/>
      <c r="Q61" s="130"/>
      <c r="R61" s="130"/>
      <c r="S61" s="130"/>
      <c r="AV61" t="str">
        <v>旋刃</v>
      </c>
    </row>
    <row r="62" spans="1:48">
      <c r="A62" s="68" t="s">
        <v>146</v>
      </c>
      <c r="B62" s="93" t="str">
        <f>IFERROR(VLOOKUP(近战武器,近战武器表[],MATCH(A62,近战武器表[#Headers],0),0),"")</f>
        <v>近战武器</v>
      </c>
      <c r="C62" s="23">
        <f>IF(C3=B62,0.2,0)</f>
        <v>0</v>
      </c>
      <c r="D62" s="82" t="s">
        <v>45</v>
      </c>
      <c r="E62" s="24" t="s">
        <v>46</v>
      </c>
      <c r="F62" s="24" t="s">
        <v>47</v>
      </c>
      <c r="G62" s="92" t="s">
        <v>48</v>
      </c>
      <c r="H62" s="24" t="s">
        <v>49</v>
      </c>
      <c r="I62" s="24" t="s">
        <v>50</v>
      </c>
      <c r="J62" s="104" t="s">
        <v>51</v>
      </c>
      <c r="K62" s="104" t="s">
        <v>52</v>
      </c>
      <c r="L62" s="105" t="s">
        <v>53</v>
      </c>
      <c r="M62" s="105"/>
      <c r="N62" s="105" t="s">
        <v>54</v>
      </c>
      <c r="O62" s="105"/>
      <c r="P62" s="105" t="s">
        <v>55</v>
      </c>
      <c r="Q62" s="105"/>
      <c r="R62" s="105" t="s">
        <v>56</v>
      </c>
      <c r="S62" s="105"/>
      <c r="T62" s="20" t="s">
        <v>57</v>
      </c>
      <c r="U62" s="20" t="s">
        <v>58</v>
      </c>
      <c r="V62" s="20" t="s">
        <v>147</v>
      </c>
      <c r="W62" s="20" t="s">
        <v>148</v>
      </c>
      <c r="X62" s="20" t="s">
        <v>149</v>
      </c>
      <c r="Y62" s="20" t="s">
        <v>150</v>
      </c>
      <c r="Z62" s="18" t="s">
        <v>67</v>
      </c>
      <c r="AA62" s="18" t="s">
        <v>70</v>
      </c>
      <c r="AB62" s="18" t="s">
        <v>151</v>
      </c>
      <c r="AV62" t="str">
        <v>激荡</v>
      </c>
    </row>
    <row r="63" spans="1:48">
      <c r="A63" s="68" t="s">
        <v>152</v>
      </c>
      <c r="B63" s="93" t="str">
        <f>IFERROR(VLOOKUP(近战武器,近战武器表[],MATCH(A63,近战武器表[#Headers],0),0),"")</f>
        <v>切割</v>
      </c>
      <c r="C63" s="23" cm="1">
        <f t="array" ref="C63">SUM(IFERROR(_xlfn.MAP(($J$63:$J$70+1)/IF($G$63:$G$70="金",11,IF($G$63:$G$70="绿",4,6)),_xlfn.LAMBDA(_xlpm.a,IF(_xlpm.a&gt;1,1,_xlpm.a)))*VLOOKUP($E$63:$E$70,武器MOD表[],MATCH("物理",武器MOD表[#Headers],0),0),0))</f>
        <v>0.99</v>
      </c>
      <c r="D63" s="76">
        <f t="shared" ref="D63:D70" si="5">(E$81-T63)/T63</f>
        <v>-0.00337077220699885</v>
      </c>
      <c r="E63" s="69"/>
      <c r="F63" s="93" t="str" cm="1">
        <f t="array" ref="F63">IFERROR(VLOOKUP($E63,_xlfn._xlws.FILTER(武器MOD表[],武器MOD表[类型]=$A$60),MATCH(F$62,武器MOD表[#Headers],0),0),"")</f>
        <v/>
      </c>
      <c r="G63" s="93" t="str" cm="1">
        <f t="array" ref="G63">IFERROR(VLOOKUP($E63,_xlfn._xlws.FILTER(武器MOD表[],武器MOD表[类型]=$A$60),MATCH(G$62,武器MOD表[#Headers],0),0),"")</f>
        <v/>
      </c>
      <c r="H63" s="93" t="str" cm="1">
        <f t="array" ref="H63">IFERROR(VLOOKUP($E63,_xlfn._xlws.FILTER(武器MOD表[],武器MOD表[类型]=$A$60),MATCH(H$62,武器MOD表[#Headers],0),0),"")&amp;""</f>
        <v/>
      </c>
      <c r="I63" s="93" cm="1">
        <f t="array" ref="I63">IF(AND(K63&lt;&gt;"",H63&lt;&gt;""),ROUNDUP(IF(H63=K63,IFERROR(VLOOKUP($E63,_xlfn._xlws.FILTER(武器MOD表[],武器MOD表[类型]=$A$60),7,0)+$J63-IF($G63="金",10,IF($G63="绿",3,5)),0)/2,IFERROR(VLOOKUP($E63,_xlfn._xlws.FILTER(武器MOD表[],武器MOD表[类型]=$A$60),7,0)+$J63-IF($G63="金",10,IF($G63="绿",3,5)),0)*1.5),0),IFERROR(VLOOKUP($E63,_xlfn._xlws.FILTER(武器MOD表[],武器MOD表[类型]=$A$60),7,0)+$J63-IF($G63="金",10,IF($G63="绿",3,5)),0))</f>
        <v>0</v>
      </c>
      <c r="J63" s="106">
        <v>10</v>
      </c>
      <c r="K63" s="69"/>
      <c r="L63" s="68" t="str" cm="1">
        <f t="array" ref="L63">IFERROR(INDEX(武器MOD表[#Headers],SMALL(_xlfn._xlws.FILTER(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,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&lt;&gt;0),ROUNDUP(COLUMNS($L40:L40)/2,0))),"")</f>
        <v/>
      </c>
      <c r="M63" s="78" t="str" cm="1">
        <f t="array" ref="M63">IFERROR(_xlfn.MAP(INDEX(INDEX(武器MOD表[],MATCH(1,(武器MOD表[名称]=$E63)*(武器MOD表[类型]=$A$60),0),),SMALL(_xlfn._xlws.FILTER(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,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&lt;&gt;0),ROUNDUP(COLUMNS($L40:L40)/2,0))),_xlfn.LAMBDA(_xlpm.x,IFERROR(MIN(1,($J63+1)/IF($G63="金",11,IF($G63="绿",4,6)))*_xlpm.x,_xlpm.x))),"")</f>
        <v/>
      </c>
      <c r="N63" s="68" t="str" cm="1">
        <f t="array" ref="N63">IFERROR(INDEX(武器MOD表[#Headers],SMALL(_xlfn._xlws.FILTER(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,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&lt;&gt;0),ROUNDUP(COLUMNS($L40:N40)/2,0))),"")</f>
        <v/>
      </c>
      <c r="O63" s="78" t="str" cm="1">
        <f t="array" ref="O63">IFERROR(_xlfn.MAP(INDEX(INDEX(武器MOD表[],MATCH(1,(武器MOD表[名称]=$E63)*(武器MOD表[类型]=$A$60),0),),SMALL(_xlfn._xlws.FILTER(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,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&lt;&gt;0),ROUNDUP(COLUMNS($L40:N40)/2,0))),_xlfn.LAMBDA(_xlpm.x,IFERROR(MIN(1,($J63+1)/IF($G63="金",11,IF($G63="绿",4,6)))*_xlpm.x,_xlpm.x))),"")</f>
        <v/>
      </c>
      <c r="P63" s="68" t="str" cm="1">
        <f t="array" ref="P63">IFERROR(INDEX(武器MOD表[#Headers],SMALL(_xlfn._xlws.FILTER(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,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&lt;&gt;0),ROUNDUP(COLUMNS($L40:P40)/2,0))),"")</f>
        <v/>
      </c>
      <c r="Q63" s="78" t="str" cm="1">
        <f t="array" ref="Q63">IFERROR(_xlfn.MAP(INDEX(INDEX(武器MOD表[],MATCH(1,(武器MOD表[名称]=$E63)*(武器MOD表[类型]=$A$60),0),),SMALL(_xlfn._xlws.FILTER(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,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&lt;&gt;0),ROUNDUP(COLUMNS($L40:P40)/2,0))),_xlfn.LAMBDA(_xlpm.x,IFERROR(MIN(1,($J63+1)/IF($G63="金",11,IF($G63="绿",4,6)))*_xlpm.x,_xlpm.x))),"")</f>
        <v/>
      </c>
      <c r="R63" s="68" t="str" cm="1">
        <f t="array" ref="R63">IFERROR(INDEX(武器MOD表[#Headers],SMALL(_xlfn._xlws.FILTER(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,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&lt;&gt;0),ROUNDUP(COLUMNS($L40:R40)/2,0))),"")</f>
        <v/>
      </c>
      <c r="S63" s="78" t="str" cm="1">
        <f t="array" ref="S63">IFERROR(_xlfn.MAP(INDEX(INDEX(武器MOD表[],MATCH(1,(武器MOD表[名称]=$E63)*(武器MOD表[类型]=$A$60),0),),SMALL(_xlfn._xlws.FILTER(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,COLUMN(_xlfn.DROP(INDEX(武器MOD表[],MATCH(1,(武器MOD表[名称]=$E63)*(武器MOD表[类型]=$A$60),0),),,MATCH("耐受",武器MOD表[#Headers],0)))*(_xlfn.DROP(INDEX(武器MOD表[],MATCH(1,(武器MOD表[名称]=$E63)*(武器MOD表[类型]=$A$60),0),),,MATCH("耐受",武器MOD表[#Headers],0))&lt;&gt;"")&lt;&gt;0),ROUNDUP(COLUMNS($L40:R40)/2,0))),_xlfn.LAMBDA(_xlpm.x,IFERROR(MIN(1,($J63+1)/IF($G63="金",11,IF($G63="绿",4,6)))*_xlpm.x,_xlpm.x))),"")</f>
        <v/>
      </c>
      <c r="T63" s="20" cm="1">
        <f t="array" ref="T63">近战倍率*触发乘区(近战伤害类型,U63,U63+角色攻击*(1-敌方抗性+属性穿透),X63)*(U63+角色攻击*(1-敌方抗性+属性穿透))*昂扬背水乘区(昂扬,背水)*防御乘区(无视防御)*Y63*PRODUCT(Z63:AB63+1)*(1+V63*(W63-1))</f>
        <v>2318288.0885467</v>
      </c>
      <c r="U63" s="20" cm="1">
        <f t="array" ref="U63">删MOD取近战属性(U$62,ROWS($J$63:$J63))*(1+删MOD取近战属性("物理",ROWS($J$63:$J63)))</f>
        <v>659.4462</v>
      </c>
      <c r="V63" s="23" cm="1">
        <f t="array" ref="V63">删MOD取近战属性(V$62,ROWS($J$63:$J63))</f>
        <v>0.4945</v>
      </c>
      <c r="W63" s="23" cm="1">
        <f t="array" ref="W63">删MOD取近战属性(W$62,ROWS($J$63:$J63))</f>
        <v>3.75</v>
      </c>
      <c r="X63" s="23" cm="1">
        <f t="array" ref="X63">删MOD取近战属性(X$62,ROWS($J$63:$J63))</f>
        <v>0.1</v>
      </c>
      <c r="Y63" s="20" cm="1">
        <f t="array" ref="Y63">删MOD取近战属性(Y$62,ROWS($J$63:$J63))</f>
        <v>1.75</v>
      </c>
      <c r="Z63" s="23" cm="1">
        <f t="array" ref="Z63">删MOD取近战属性(Z$62,ROWS($J$63:$J63))</f>
        <v>2.75</v>
      </c>
      <c r="AA63" s="23" cm="1">
        <f t="array" ref="AA63">删MOD取近战属性(AA$62,ROWS($J$63:$J63))</f>
        <v>0</v>
      </c>
      <c r="AB63" s="23" cm="1">
        <f t="array" ref="AB63">删MOD取近战属性(AB$62,ROWS($J$63:$J63))</f>
        <v>0.6</v>
      </c>
      <c r="AV63" t="str">
        <v>磐石</v>
      </c>
    </row>
    <row r="64" spans="1:48">
      <c r="A64" s="68" t="s">
        <v>58</v>
      </c>
      <c r="B64" s="75">
        <f>IFERROR(VLOOKUP(近战武器,近战武器表[],MATCH("基础"&amp;A64,近战武器表[#Headers],0),0),"")</f>
        <v>276.15</v>
      </c>
      <c r="C64" s="75" cm="1">
        <f t="array" ref="C64">B64*(1+C63)*SUM(1,C62,IFERROR(_xlfn.MAP(($J$63:$J$70+1)/IF($G$63:$G$70="金",11,IF($G$63:$G$70="绿",4,6)),_xlfn.LAMBDA(_xlpm.a,IF(_xlpm.a&gt;1,1,_xlpm.a)))*_xlfn.MAP($E$63:$E$70,_xlfn.LAMBDA(_xlpm.b,INDEX(武器MOD表[],MATCH(1,(武器MOD表[名称]=_xlpm.b)*(武器MOD表[类型]=$A$60),0),MATCH(A64,武器MOD表[#Headers],0)))),0))</f>
        <v>549.5385</v>
      </c>
      <c r="D64" s="76">
        <f t="shared" si="5"/>
        <v>0.744101148637757</v>
      </c>
      <c r="E64" s="69" t="s">
        <v>153</v>
      </c>
      <c r="F64" s="93" t="str" cm="1">
        <f t="array" ref="F64">IFERROR(VLOOKUP($E64,_xlfn._xlws.FILTER(武器MOD表[],武器MOD表[类型]=$A$60),MATCH(F$62,武器MOD表[#Headers],0),0),"")</f>
        <v>冥犬</v>
      </c>
      <c r="G64" s="93" t="str" cm="1">
        <f t="array" ref="G64">IFERROR(VLOOKUP($E64,_xlfn._xlws.FILTER(武器MOD表[],武器MOD表[类型]=$A$60),MATCH(G$62,武器MOD表[#Headers],0),0),"")</f>
        <v>金</v>
      </c>
      <c r="H64" s="93" t="str" cm="1">
        <f t="array" ref="H64">IFERROR(VLOOKUP($E64,_xlfn._xlws.FILTER(武器MOD表[],武器MOD表[类型]=$A$60),MATCH(H$62,武器MOD表[#Headers],0),0),"")&amp;""</f>
        <v>O</v>
      </c>
      <c r="I64" s="93" cm="1">
        <f t="array" ref="I64">IF(AND(K64&lt;&gt;"",H64&lt;&gt;""),ROUNDUP(IF(H64=K64,IFERROR(VLOOKUP($E64,_xlfn._xlws.FILTER(武器MOD表[],武器MOD表[类型]=$A$60),7,0)+$J64-IF($G64="金",10,IF($G64="绿",3,5)),0)/2,IFERROR(VLOOKUP($E64,_xlfn._xlws.FILTER(武器MOD表[],武器MOD表[类型]=$A$60),7,0)+$J64-IF($G64="金",10,IF($G64="绿",3,5)),0)*1.5),0),IFERROR(VLOOKUP($E64,_xlfn._xlws.FILTER(武器MOD表[],武器MOD表[类型]=$A$60),7,0)+$J64-IF($G64="金",10,IF($G64="绿",3,5)),0))</f>
        <v>25</v>
      </c>
      <c r="J64" s="106">
        <v>10</v>
      </c>
      <c r="K64" s="69"/>
      <c r="L64" s="68" t="str" cm="1">
        <f t="array" ref="L64">IFERROR(INDEX(武器MOD表[#Headers],SMALL(_xlfn._xlws.FILTER(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,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&lt;&gt;0),ROUNDUP(COLUMNS($L41:L41)/2,0))),"")</f>
        <v>攻速</v>
      </c>
      <c r="M64" s="78" cm="1">
        <f t="array" ref="M64">IFERROR(_xlfn.MAP(INDEX(INDEX(武器MOD表[],MATCH(1,(武器MOD表[名称]=$E64)*(武器MOD表[类型]=$A$60),0),),SMALL(_xlfn._xlws.FILTER(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,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&lt;&gt;0),ROUNDUP(COLUMNS($L41:L41)/2,0))),_xlfn.LAMBDA(_xlpm.x,IFERROR(MIN(1,($J64+1)/IF($G64="金",11,IF($G64="绿",4,6)))*_xlpm.x,_xlpm.x))),"")</f>
        <v>0.75</v>
      </c>
      <c r="N64" s="68" t="str" cm="1">
        <f t="array" ref="N64">IFERROR(INDEX(武器MOD表[#Headers],SMALL(_xlfn._xlws.FILTER(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,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&lt;&gt;0),ROUNDUP(COLUMNS($L41:N41)/2,0))),"")</f>
        <v/>
      </c>
      <c r="O64" s="78" t="str" cm="1">
        <f t="array" ref="O64">IFERROR(_xlfn.MAP(INDEX(INDEX(武器MOD表[],MATCH(1,(武器MOD表[名称]=$E64)*(武器MOD表[类型]=$A$60),0),),SMALL(_xlfn._xlws.FILTER(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,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&lt;&gt;0),ROUNDUP(COLUMNS($L41:N41)/2,0))),_xlfn.LAMBDA(_xlpm.x,IFERROR(MIN(1,($J64+1)/IF($G64="金",11,IF($G64="绿",4,6)))*_xlpm.x,_xlpm.x))),"")</f>
        <v/>
      </c>
      <c r="P64" s="68" t="str" cm="1">
        <f t="array" ref="P64">IFERROR(INDEX(武器MOD表[#Headers],SMALL(_xlfn._xlws.FILTER(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,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&lt;&gt;0),ROUNDUP(COLUMNS($L41:P41)/2,0))),"")</f>
        <v/>
      </c>
      <c r="Q64" s="78" t="str" cm="1">
        <f t="array" ref="Q64">IFERROR(_xlfn.MAP(INDEX(INDEX(武器MOD表[],MATCH(1,(武器MOD表[名称]=$E64)*(武器MOD表[类型]=$A$60),0),),SMALL(_xlfn._xlws.FILTER(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,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&lt;&gt;0),ROUNDUP(COLUMNS($L41:P41)/2,0))),_xlfn.LAMBDA(_xlpm.x,IFERROR(MIN(1,($J64+1)/IF($G64="金",11,IF($G64="绿",4,6)))*_xlpm.x,_xlpm.x))),"")</f>
        <v/>
      </c>
      <c r="R64" s="68" t="str" cm="1">
        <f t="array" ref="R64">IFERROR(INDEX(武器MOD表[#Headers],SMALL(_xlfn._xlws.FILTER(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,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&lt;&gt;0),ROUNDUP(COLUMNS($L41:R41)/2,0))),"")</f>
        <v/>
      </c>
      <c r="S64" s="78" t="str" cm="1">
        <f t="array" ref="S64">IFERROR(_xlfn.MAP(INDEX(INDEX(武器MOD表[],MATCH(1,(武器MOD表[名称]=$E64)*(武器MOD表[类型]=$A$60),0),),SMALL(_xlfn._xlws.FILTER(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,COLUMN(_xlfn.DROP(INDEX(武器MOD表[],MATCH(1,(武器MOD表[名称]=$E64)*(武器MOD表[类型]=$A$60),0),),,MATCH("耐受",武器MOD表[#Headers],0)))*(_xlfn.DROP(INDEX(武器MOD表[],MATCH(1,(武器MOD表[名称]=$E64)*(武器MOD表[类型]=$A$60),0),),,MATCH("耐受",武器MOD表[#Headers],0))&lt;&gt;"")&lt;&gt;0),ROUNDUP(COLUMNS($L41:R41)/2,0))),_xlfn.LAMBDA(_xlpm.x,IFERROR(MIN(1,($J64+1)/IF($G64="金",11,IF($G64="绿",4,6)))*_xlpm.x,_xlpm.x))),"")</f>
        <v/>
      </c>
      <c r="T64" s="20" cm="1">
        <f t="array" ref="T64">近战倍率*触发乘区(近战伤害类型,U64,U64+角色攻击*(1-敌方抗性+属性穿透),X64)*(U64+角色攻击*(1-敌方抗性+属性穿透))*昂扬背水乘区(昂扬,背水)*防御乘区(无视防御)*Y64*PRODUCT(Z64:AB64+1)*(1+V64*(W64-1))</f>
        <v>1324736.05059811</v>
      </c>
      <c r="U64" s="20" cm="1">
        <f t="array" ref="U64">删MOD取近战属性(U$62,ROWS($J$63:$J64))*(1+删MOD取近战属性("物理",ROWS($J$63:$J64)))</f>
        <v>659.4462</v>
      </c>
      <c r="V64" s="23" cm="1">
        <f t="array" ref="V64">删MOD取近战属性(V$62,ROWS($J$63:$J64))</f>
        <v>0.4945</v>
      </c>
      <c r="W64" s="23" cm="1">
        <f t="array" ref="W64">删MOD取近战属性(W$62,ROWS($J$63:$J64))</f>
        <v>3.75</v>
      </c>
      <c r="X64" s="23" cm="1">
        <f t="array" ref="X64">删MOD取近战属性(X$62,ROWS($J$63:$J64))</f>
        <v>0.1</v>
      </c>
      <c r="Y64" s="20" cm="1">
        <f t="array" ref="Y64">删MOD取近战属性(Y$62,ROWS($J$63:$J64))</f>
        <v>1</v>
      </c>
      <c r="Z64" s="23" cm="1">
        <f t="array" ref="Z64">删MOD取近战属性(Z$62,ROWS($J$63:$J64))</f>
        <v>2.75</v>
      </c>
      <c r="AA64" s="23" cm="1">
        <f t="array" ref="AA64">删MOD取近战属性(AA$62,ROWS($J$63:$J64))</f>
        <v>0</v>
      </c>
      <c r="AB64" s="23" cm="1">
        <f t="array" ref="AB64">删MOD取近战属性(AB$62,ROWS($J$63:$J64))</f>
        <v>0.6</v>
      </c>
      <c r="AV64" t="str">
        <v>引燃</v>
      </c>
    </row>
    <row r="65" spans="1:48">
      <c r="A65" s="68" t="s">
        <v>147</v>
      </c>
      <c r="B65" s="78">
        <f>IFERROR(VLOOKUP(近战武器,近战武器表[],MATCH("基础"&amp;A65,近战武器表[#Headers],0),0),"")</f>
        <v>0.23</v>
      </c>
      <c r="C65" s="78" cm="1">
        <f t="array" ref="C65">B65*SUM(1,IFERROR((5+$D$60)/10*VLOOKUP(近战武器,近战武器表[],MATCH(A65,近战武器表[#Headers],0),0),0),IFERROR(_xlfn.MAP(($J$63:$J$70+1)/IF($G$63:$G$70="金",11,IF($G$63:$G$70="绿",4,6)),_xlfn.LAMBDA(_xlpm.a,IF(_xlpm.a&gt;1,1,_xlpm.a)))*_xlfn.MAP($E$63:$E$70,_xlfn.LAMBDA(_xlpm.b,INDEX(武器MOD表[],MATCH(1,(武器MOD表[名称]=_xlpm.b)*(武器MOD表[类型]=$A$60),0),MATCH(A65,武器MOD表[#Headers],0)))),0),IFERROR(BUFF层数乘数*VLOOKUP(BUFF,BUFF表[],MATCH(A65,BUFF表[#Headers],0),0),0))</f>
        <v>0.4945</v>
      </c>
      <c r="D65" s="76">
        <f t="shared" si="5"/>
        <v>1.09315420975682</v>
      </c>
      <c r="E65" s="69" t="s">
        <v>154</v>
      </c>
      <c r="F65" s="93" t="str" cm="1">
        <f t="array" ref="F65">IFERROR(VLOOKUP($E65,_xlfn._xlws.FILTER(武器MOD表[],武器MOD表[类型]=$A$60),MATCH(F$62,武器MOD表[#Headers],0),0),"")</f>
        <v>冥犬</v>
      </c>
      <c r="G65" s="93" t="str" cm="1">
        <f t="array" ref="G65">IFERROR(VLOOKUP($E65,_xlfn._xlws.FILTER(武器MOD表[],武器MOD表[类型]=$A$60),MATCH(G$62,武器MOD表[#Headers],0),0),"")</f>
        <v>紫</v>
      </c>
      <c r="H65" s="93" t="str" cm="1">
        <f t="array" ref="H65">IFERROR(VLOOKUP($E65,_xlfn._xlws.FILTER(武器MOD表[],武器MOD表[类型]=$A$60),MATCH(H$62,武器MOD表[#Headers],0),0),"")&amp;""</f>
        <v>A</v>
      </c>
      <c r="I65" s="93" cm="1">
        <f t="array" ref="I65">IF(AND(K65&lt;&gt;"",H65&lt;&gt;""),ROUNDUP(IF(H65=K65,IFERROR(VLOOKUP($E65,_xlfn._xlws.FILTER(武器MOD表[],武器MOD表[类型]=$A$60),7,0)+$J65-IF($G65="金",10,IF($G65="绿",3,5)),0)/2,IFERROR(VLOOKUP($E65,_xlfn._xlws.FILTER(武器MOD表[],武器MOD表[类型]=$A$60),7,0)+$J65-IF($G65="金",10,IF($G65="绿",3,5)),0)*1.5),0),IFERROR(VLOOKUP($E65,_xlfn._xlws.FILTER(武器MOD表[],武器MOD表[类型]=$A$60),7,0)+$J65-IF($G65="金",10,IF($G65="绿",3,5)),0))</f>
        <v>19</v>
      </c>
      <c r="J65" s="106">
        <v>10</v>
      </c>
      <c r="K65" s="69"/>
      <c r="L65" s="68" t="str" cm="1">
        <f t="array" ref="L65">IFERROR(INDEX(武器MOD表[#Headers],SMALL(_xlfn._xlws.FILTER(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,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&lt;&gt;0),ROUNDUP(COLUMNS($L42:L42)/2,0))),"")</f>
        <v>暴伤</v>
      </c>
      <c r="M65" s="78" cm="1">
        <f t="array" ref="M65">IFERROR(_xlfn.MAP(INDEX(INDEX(武器MOD表[],MATCH(1,(武器MOD表[名称]=$E65)*(武器MOD表[类型]=$A$60),0),),SMALL(_xlfn._xlws.FILTER(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,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&lt;&gt;0),ROUNDUP(COLUMNS($L42:L42)/2,0))),_xlfn.LAMBDA(_xlpm.x,IFERROR(MIN(1,($J65+1)/IF($G65="金",11,IF($G65="绿",4,6)))*_xlpm.x,_xlpm.x))),"")</f>
        <v>1</v>
      </c>
      <c r="N65" s="68" t="str" cm="1">
        <f t="array" ref="N65">IFERROR(INDEX(武器MOD表[#Headers],SMALL(_xlfn._xlws.FILTER(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,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&lt;&gt;0),ROUNDUP(COLUMNS($L42:N42)/2,0))),"")</f>
        <v/>
      </c>
      <c r="O65" s="78" t="str" cm="1">
        <f t="array" ref="O65">IFERROR(_xlfn.MAP(INDEX(INDEX(武器MOD表[],MATCH(1,(武器MOD表[名称]=$E65)*(武器MOD表[类型]=$A$60),0),),SMALL(_xlfn._xlws.FILTER(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,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&lt;&gt;0),ROUNDUP(COLUMNS($L42:N42)/2,0))),_xlfn.LAMBDA(_xlpm.x,IFERROR(MIN(1,($J65+1)/IF($G65="金",11,IF($G65="绿",4,6)))*_xlpm.x,_xlpm.x))),"")</f>
        <v/>
      </c>
      <c r="P65" s="68" t="str" cm="1">
        <f t="array" ref="P65">IFERROR(INDEX(武器MOD表[#Headers],SMALL(_xlfn._xlws.FILTER(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,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&lt;&gt;0),ROUNDUP(COLUMNS($L42:P42)/2,0))),"")</f>
        <v/>
      </c>
      <c r="Q65" s="78" t="str" cm="1">
        <f t="array" ref="Q65">IFERROR(_xlfn.MAP(INDEX(INDEX(武器MOD表[],MATCH(1,(武器MOD表[名称]=$E65)*(武器MOD表[类型]=$A$60),0),),SMALL(_xlfn._xlws.FILTER(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,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&lt;&gt;0),ROUNDUP(COLUMNS($L42:P42)/2,0))),_xlfn.LAMBDA(_xlpm.x,IFERROR(MIN(1,($J65+1)/IF($G65="金",11,IF($G65="绿",4,6)))*_xlpm.x,_xlpm.x))),"")</f>
        <v/>
      </c>
      <c r="R65" s="68" t="str" cm="1">
        <f t="array" ref="R65">IFERROR(INDEX(武器MOD表[#Headers],SMALL(_xlfn._xlws.FILTER(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,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&lt;&gt;0),ROUNDUP(COLUMNS($L42:R42)/2,0))),"")</f>
        <v/>
      </c>
      <c r="S65" s="78" t="str" cm="1">
        <f t="array" ref="S65">IFERROR(_xlfn.MAP(INDEX(INDEX(武器MOD表[],MATCH(1,(武器MOD表[名称]=$E65)*(武器MOD表[类型]=$A$60),0),),SMALL(_xlfn._xlws.FILTER(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,COLUMN(_xlfn.DROP(INDEX(武器MOD表[],MATCH(1,(武器MOD表[名称]=$E65)*(武器MOD表[类型]=$A$60),0),),,MATCH("耐受",武器MOD表[#Headers],0)))*(_xlfn.DROP(INDEX(武器MOD表[],MATCH(1,(武器MOD表[名称]=$E65)*(武器MOD表[类型]=$A$60),0),),,MATCH("耐受",武器MOD表[#Headers],0))&lt;&gt;"")&lt;&gt;0),ROUNDUP(COLUMNS($L42:R42)/2,0))),_xlfn.LAMBDA(_xlpm.x,IFERROR(MIN(1,($J65+1)/IF($G65="金",11,IF($G65="绿",4,6)))*_xlpm.x,_xlpm.x))),"")</f>
        <v/>
      </c>
      <c r="T65" s="20" cm="1">
        <f t="array" ref="T65">近战倍率*触发乘区(近战伤害类型,U65,U65+角色攻击*(1-敌方抗性+属性穿透),X65)*(U65+角色攻击*(1-敌方抗性+属性穿透))*昂扬背水乘区(昂扬,背水)*防御乘区(无视防御)*Y65*PRODUCT(Z65:AB65+1)*(1+V65*(W65-1))</f>
        <v>1103823.91164502</v>
      </c>
      <c r="U65" s="20" cm="1">
        <f t="array" ref="U65">删MOD取近战属性(U$62,ROWS($J$63:$J65))*(1+删MOD取近战属性("物理",ROWS($J$63:$J65)))</f>
        <v>659.4462</v>
      </c>
      <c r="V65" s="23" cm="1">
        <f t="array" ref="V65">删MOD取近战属性(V$62,ROWS($J$63:$J65))</f>
        <v>0.4945</v>
      </c>
      <c r="W65" s="23" cm="1">
        <f t="array" ref="W65">删MOD取近战属性(W$62,ROWS($J$63:$J65))</f>
        <v>1.25</v>
      </c>
      <c r="X65" s="23" cm="1">
        <f t="array" ref="X65">删MOD取近战属性(X$62,ROWS($J$63:$J65))</f>
        <v>0.1</v>
      </c>
      <c r="Y65" s="20" cm="1">
        <f t="array" ref="Y65">删MOD取近战属性(Y$62,ROWS($J$63:$J65))</f>
        <v>1.75</v>
      </c>
      <c r="Z65" s="23" cm="1">
        <f t="array" ref="Z65">删MOD取近战属性(Z$62,ROWS($J$63:$J65))</f>
        <v>2.75</v>
      </c>
      <c r="AA65" s="23" cm="1">
        <f t="array" ref="AA65">删MOD取近战属性(AA$62,ROWS($J$63:$J65))</f>
        <v>0</v>
      </c>
      <c r="AB65" s="23" cm="1">
        <f t="array" ref="AB65">删MOD取近战属性(AB$62,ROWS($J$63:$J65))</f>
        <v>0.6</v>
      </c>
      <c r="AV65" t="str">
        <v>遮断</v>
      </c>
    </row>
    <row r="66" spans="1:48">
      <c r="A66" s="68" t="s">
        <v>148</v>
      </c>
      <c r="B66" s="78">
        <f>IFERROR(VLOOKUP(近战武器,近战武器表[],MATCH("基础"&amp;A66,近战武器表[#Headers],0),0),"")</f>
        <v>2.5</v>
      </c>
      <c r="C66" s="78" cm="1">
        <f t="array" ref="C66">B66*SUM(1,IFERROR((5+$D$60)/10*VLOOKUP(近战武器,近战武器表[],MATCH(A66,近战武器表[#Headers],0),0),0),IFERROR(_xlfn.MAP(($J$63:$J$70+1)/IF($G$63:$G$70="金",11,IF($G$63:$G$70="绿",4,6)),_xlfn.LAMBDA(_xlpm.a,IF(_xlpm.a&gt;1,1,_xlpm.a)))*_xlfn.MAP($E$63:$E$70,_xlfn.LAMBDA(_xlpm.b,INDEX(武器MOD表[],MATCH(1,(武器MOD表[名称]=_xlpm.b)*(武器MOD表[类型]=$A$60),0),MATCH(A66,武器MOD表[#Headers],0)))),0),IFERROR(BUFF层数乘数*VLOOKUP(BUFF,BUFF表[],MATCH(A66,BUFF表[#Headers],0),0),0))</f>
        <v>3.75</v>
      </c>
      <c r="D66" s="76">
        <f t="shared" si="5"/>
        <v>0.00675873173845944</v>
      </c>
      <c r="E66" s="69" t="s">
        <v>155</v>
      </c>
      <c r="F66" s="93" t="str" cm="1">
        <f t="array" ref="F66">IFERROR(VLOOKUP($E66,_xlfn._xlws.FILTER(武器MOD表[],武器MOD表[类型]=$A$60),MATCH(F$62,武器MOD表[#Headers],0),0),"")</f>
        <v>冥犬</v>
      </c>
      <c r="G66" s="93" t="str" cm="1">
        <f t="array" ref="G66">IFERROR(VLOOKUP($E66,_xlfn._xlws.FILTER(武器MOD表[],武器MOD表[类型]=$A$60),MATCH(G$62,武器MOD表[#Headers],0),0),"")</f>
        <v>金</v>
      </c>
      <c r="H66" s="93" t="str" cm="1">
        <f t="array" ref="H66">IFERROR(VLOOKUP($E66,_xlfn._xlws.FILTER(武器MOD表[],武器MOD表[类型]=$A$60),MATCH(H$62,武器MOD表[#Headers],0),0),"")&amp;""</f>
        <v>A</v>
      </c>
      <c r="I66" s="93" cm="1">
        <f t="array" ref="I66">IF(AND(K66&lt;&gt;"",H66&lt;&gt;""),ROUNDUP(IF(H66=K66,IFERROR(VLOOKUP($E66,_xlfn._xlws.FILTER(武器MOD表[],武器MOD表[类型]=$A$60),7,0)+$J66-IF($G66="金",10,IF($G66="绿",3,5)),0)/2,IFERROR(VLOOKUP($E66,_xlfn._xlws.FILTER(武器MOD表[],武器MOD表[类型]=$A$60),7,0)+$J66-IF($G66="金",10,IF($G66="绿",3,5)),0)*1.5),0),IFERROR(VLOOKUP($E66,_xlfn._xlws.FILTER(武器MOD表[],武器MOD表[类型]=$A$60),7,0)+$J66-IF($G66="金",10,IF($G66="绿",3,5)),0))</f>
        <v>14</v>
      </c>
      <c r="J66" s="106">
        <v>10</v>
      </c>
      <c r="K66" s="69"/>
      <c r="L66" s="68" t="str" cm="1">
        <f t="array" ref="L66">IFERROR(INDEX(武器MOD表[#Headers],SMALL(_xlfn._xlws.FILTER(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,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&lt;&gt;0),ROUNDUP(COLUMNS($L43:L43)/2,0))),"")</f>
        <v>物理</v>
      </c>
      <c r="M66" s="78" cm="1">
        <f t="array" ref="M66">IFERROR(_xlfn.MAP(INDEX(INDEX(武器MOD表[],MATCH(1,(武器MOD表[名称]=$E66)*(武器MOD表[类型]=$A$60),0),),SMALL(_xlfn._xlws.FILTER(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,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&lt;&gt;0),ROUNDUP(COLUMNS($L43:L43)/2,0))),_xlfn.LAMBDA(_xlpm.x,IFERROR(MIN(1,($J66+1)/IF($G66="金",11,IF($G66="绿",4,6)))*_xlpm.x,_xlpm.x))),"")</f>
        <v>0.99</v>
      </c>
      <c r="N66" s="68" t="str" cm="1">
        <f t="array" ref="N66">IFERROR(INDEX(武器MOD表[#Headers],SMALL(_xlfn._xlws.FILTER(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,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&lt;&gt;0),ROUNDUP(COLUMNS($L43:N43)/2,0))),"")</f>
        <v/>
      </c>
      <c r="O66" s="78" t="str" cm="1">
        <f t="array" ref="O66">IFERROR(_xlfn.MAP(INDEX(INDEX(武器MOD表[],MATCH(1,(武器MOD表[名称]=$E66)*(武器MOD表[类型]=$A$60),0),),SMALL(_xlfn._xlws.FILTER(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,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&lt;&gt;0),ROUNDUP(COLUMNS($L43:N43)/2,0))),_xlfn.LAMBDA(_xlpm.x,IFERROR(MIN(1,($J66+1)/IF($G66="金",11,IF($G66="绿",4,6)))*_xlpm.x,_xlpm.x))),"")</f>
        <v/>
      </c>
      <c r="P66" s="68" t="str" cm="1">
        <f t="array" ref="P66">IFERROR(INDEX(武器MOD表[#Headers],SMALL(_xlfn._xlws.FILTER(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,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&lt;&gt;0),ROUNDUP(COLUMNS($L43:P43)/2,0))),"")</f>
        <v/>
      </c>
      <c r="Q66" s="78" t="str" cm="1">
        <f t="array" ref="Q66">IFERROR(_xlfn.MAP(INDEX(INDEX(武器MOD表[],MATCH(1,(武器MOD表[名称]=$E66)*(武器MOD表[类型]=$A$60),0),),SMALL(_xlfn._xlws.FILTER(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,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&lt;&gt;0),ROUNDUP(COLUMNS($L43:P43)/2,0))),_xlfn.LAMBDA(_xlpm.x,IFERROR(MIN(1,($J66+1)/IF($G66="金",11,IF($G66="绿",4,6)))*_xlpm.x,_xlpm.x))),"")</f>
        <v/>
      </c>
      <c r="R66" s="68" t="str" cm="1">
        <f t="array" ref="R66">IFERROR(INDEX(武器MOD表[#Headers],SMALL(_xlfn._xlws.FILTER(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,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&lt;&gt;0),ROUNDUP(COLUMNS($L43:R43)/2,0))),"")</f>
        <v/>
      </c>
      <c r="S66" s="78" t="str" cm="1">
        <f t="array" ref="S66">IFERROR(_xlfn.MAP(INDEX(INDEX(武器MOD表[],MATCH(1,(武器MOD表[名称]=$E66)*(武器MOD表[类型]=$A$60),0),),SMALL(_xlfn._xlws.FILTER(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,COLUMN(_xlfn.DROP(INDEX(武器MOD表[],MATCH(1,(武器MOD表[名称]=$E66)*(武器MOD表[类型]=$A$60),0),),,MATCH("耐受",武器MOD表[#Headers],0)))*(_xlfn.DROP(INDEX(武器MOD表[],MATCH(1,(武器MOD表[名称]=$E66)*(武器MOD表[类型]=$A$60),0),),,MATCH("耐受",武器MOD表[#Headers],0))&lt;&gt;"")&lt;&gt;0),ROUNDUP(COLUMNS($L43:R43)/2,0))),_xlfn.LAMBDA(_xlpm.x,IFERROR(MIN(1,($J66+1)/IF($G66="金",11,IF($G66="绿",4,6)))*_xlpm.x,_xlpm.x))),"")</f>
        <v/>
      </c>
      <c r="T66" s="20" cm="1">
        <f t="array" ref="T66">近战倍率*触发乘区(近战伤害类型,U66,U66+角色攻击*(1-敌方抗性+属性穿透),X66)*(U66+角色攻击*(1-敌方抗性+属性穿透))*昂扬背水乘区(昂扬,背水)*防御乘区(无视防御)*Y66*PRODUCT(Z66:AB66+1)*(1+V66*(W66-1))</f>
        <v>2294962.63071919</v>
      </c>
      <c r="U66" s="20" cm="1">
        <f t="array" ref="U66">删MOD取近战属性(U$62,ROWS($J$63:$J66))*(1+删MOD取近战属性("物理",ROWS($J$63:$J66)))</f>
        <v>331.38</v>
      </c>
      <c r="V66" s="23" cm="1">
        <f t="array" ref="V66">删MOD取近战属性(V$62,ROWS($J$63:$J66))</f>
        <v>0.4945</v>
      </c>
      <c r="W66" s="23" cm="1">
        <f t="array" ref="W66">删MOD取近战属性(W$62,ROWS($J$63:$J66))</f>
        <v>3.75</v>
      </c>
      <c r="X66" s="23" cm="1">
        <f t="array" ref="X66">删MOD取近战属性(X$62,ROWS($J$63:$J66))</f>
        <v>0.1</v>
      </c>
      <c r="Y66" s="20" cm="1">
        <f t="array" ref="Y66">删MOD取近战属性(Y$62,ROWS($J$63:$J66))</f>
        <v>1.75</v>
      </c>
      <c r="Z66" s="23" cm="1">
        <f t="array" ref="Z66">删MOD取近战属性(Z$62,ROWS($J$63:$J66))</f>
        <v>2.75</v>
      </c>
      <c r="AA66" s="23" cm="1">
        <f t="array" ref="AA66">删MOD取近战属性(AA$62,ROWS($J$63:$J66))</f>
        <v>0</v>
      </c>
      <c r="AB66" s="23" cm="1">
        <f t="array" ref="AB66">删MOD取近战属性(AB$62,ROWS($J$63:$J66))</f>
        <v>0.6</v>
      </c>
      <c r="AV66" t="str">
        <v>不屈</v>
      </c>
    </row>
    <row r="67" spans="1:48">
      <c r="A67" s="68" t="s">
        <v>156</v>
      </c>
      <c r="B67" s="93">
        <f>ROUNDDOWN(B65,0)</f>
        <v>0</v>
      </c>
      <c r="C67" s="78">
        <f>($C$66-1)*B67+1</f>
        <v>1</v>
      </c>
      <c r="D67" s="76">
        <f t="shared" si="5"/>
        <v>-0.00337077220699885</v>
      </c>
      <c r="E67" s="69"/>
      <c r="F67" s="93" t="str" cm="1">
        <f t="array" ref="F67">IFERROR(VLOOKUP($E67,_xlfn._xlws.FILTER(武器MOD表[],武器MOD表[类型]=$A$60),MATCH(F$62,武器MOD表[#Headers],0),0),"")</f>
        <v/>
      </c>
      <c r="G67" s="93" t="str" cm="1">
        <f t="array" ref="G67">IFERROR(VLOOKUP($E67,_xlfn._xlws.FILTER(武器MOD表[],武器MOD表[类型]=$A$60),MATCH(G$62,武器MOD表[#Headers],0),0),"")</f>
        <v/>
      </c>
      <c r="H67" s="93" t="str" cm="1">
        <f t="array" ref="H67">IFERROR(VLOOKUP($E67,_xlfn._xlws.FILTER(武器MOD表[],武器MOD表[类型]=$A$60),MATCH(H$62,武器MOD表[#Headers],0),0),"")&amp;""</f>
        <v/>
      </c>
      <c r="I67" s="93" cm="1">
        <f t="array" ref="I67">IF(AND(K67&lt;&gt;"",H67&lt;&gt;""),ROUNDUP(IF(H67=K67,IFERROR(VLOOKUP($E67,_xlfn._xlws.FILTER(武器MOD表[],武器MOD表[类型]=$A$60),7,0)+$J67-IF($G67="金",10,IF($G67="绿",3,5)),0)/2,IFERROR(VLOOKUP($E67,_xlfn._xlws.FILTER(武器MOD表[],武器MOD表[类型]=$A$60),7,0)+$J67-IF($G67="金",10,IF($G67="绿",3,5)),0)*1.5),0),IFERROR(VLOOKUP($E67,_xlfn._xlws.FILTER(武器MOD表[],武器MOD表[类型]=$A$60),7,0)+$J67-IF($G67="金",10,IF($G67="绿",3,5)),0))</f>
        <v>0</v>
      </c>
      <c r="J67" s="106">
        <v>10</v>
      </c>
      <c r="K67" s="69"/>
      <c r="L67" s="68" t="str" cm="1">
        <f t="array" ref="L67">IFERROR(INDEX(武器MOD表[#Headers],SMALL(_xlfn._xlws.FILTER(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,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&lt;&gt;0),ROUNDUP(COLUMNS($L44:L44)/2,0))),"")</f>
        <v/>
      </c>
      <c r="M67" s="78" t="str" cm="1">
        <f t="array" ref="M67">IFERROR(_xlfn.MAP(INDEX(INDEX(武器MOD表[],MATCH(1,(武器MOD表[名称]=$E67)*(武器MOD表[类型]=$A$60),0),),SMALL(_xlfn._xlws.FILTER(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,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&lt;&gt;0),ROUNDUP(COLUMNS($L44:L44)/2,0))),_xlfn.LAMBDA(_xlpm.x,IFERROR(MIN(1,($J67+1)/IF($G67="金",11,IF($G67="绿",4,6)))*_xlpm.x,_xlpm.x))),"")</f>
        <v/>
      </c>
      <c r="N67" s="68" t="str" cm="1">
        <f t="array" ref="N67">IFERROR(INDEX(武器MOD表[#Headers],SMALL(_xlfn._xlws.FILTER(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,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&lt;&gt;0),ROUNDUP(COLUMNS($L44:N44)/2,0))),"")</f>
        <v/>
      </c>
      <c r="O67" s="78" t="str" cm="1">
        <f t="array" ref="O67">IFERROR(_xlfn.MAP(INDEX(INDEX(武器MOD表[],MATCH(1,(武器MOD表[名称]=$E67)*(武器MOD表[类型]=$A$60),0),),SMALL(_xlfn._xlws.FILTER(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,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&lt;&gt;0),ROUNDUP(COLUMNS($L44:N44)/2,0))),_xlfn.LAMBDA(_xlpm.x,IFERROR(MIN(1,($J67+1)/IF($G67="金",11,IF($G67="绿",4,6)))*_xlpm.x,_xlpm.x))),"")</f>
        <v/>
      </c>
      <c r="P67" s="68" t="str" cm="1">
        <f t="array" ref="P67">IFERROR(INDEX(武器MOD表[#Headers],SMALL(_xlfn._xlws.FILTER(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,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&lt;&gt;0),ROUNDUP(COLUMNS($L44:P44)/2,0))),"")</f>
        <v/>
      </c>
      <c r="Q67" s="78" t="str" cm="1">
        <f t="array" ref="Q67">IFERROR(_xlfn.MAP(INDEX(INDEX(武器MOD表[],MATCH(1,(武器MOD表[名称]=$E67)*(武器MOD表[类型]=$A$60),0),),SMALL(_xlfn._xlws.FILTER(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,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&lt;&gt;0),ROUNDUP(COLUMNS($L44:P44)/2,0))),_xlfn.LAMBDA(_xlpm.x,IFERROR(MIN(1,($J67+1)/IF($G67="金",11,IF($G67="绿",4,6)))*_xlpm.x,_xlpm.x))),"")</f>
        <v/>
      </c>
      <c r="R67" s="68" t="str" cm="1">
        <f t="array" ref="R67">IFERROR(INDEX(武器MOD表[#Headers],SMALL(_xlfn._xlws.FILTER(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,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&lt;&gt;0),ROUNDUP(COLUMNS($L44:R44)/2,0))),"")</f>
        <v/>
      </c>
      <c r="S67" s="78" t="str" cm="1">
        <f t="array" ref="S67">IFERROR(_xlfn.MAP(INDEX(INDEX(武器MOD表[],MATCH(1,(武器MOD表[名称]=$E67)*(武器MOD表[类型]=$A$60),0),),SMALL(_xlfn._xlws.FILTER(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,COLUMN(_xlfn.DROP(INDEX(武器MOD表[],MATCH(1,(武器MOD表[名称]=$E67)*(武器MOD表[类型]=$A$60),0),),,MATCH("耐受",武器MOD表[#Headers],0)))*(_xlfn.DROP(INDEX(武器MOD表[],MATCH(1,(武器MOD表[名称]=$E67)*(武器MOD表[类型]=$A$60),0),),,MATCH("耐受",武器MOD表[#Headers],0))&lt;&gt;"")&lt;&gt;0),ROUNDUP(COLUMNS($L44:R44)/2,0))),_xlfn.LAMBDA(_xlpm.x,IFERROR(MIN(1,($J67+1)/IF($G67="金",11,IF($G67="绿",4,6)))*_xlpm.x,_xlpm.x))),"")</f>
        <v/>
      </c>
      <c r="T67" s="20" cm="1">
        <f t="array" ref="T67">近战倍率*触发乘区(近战伤害类型,U67,U67+角色攻击*(1-敌方抗性+属性穿透),X67)*(U67+角色攻击*(1-敌方抗性+属性穿透))*昂扬背水乘区(昂扬,背水)*防御乘区(无视防御)*Y67*PRODUCT(Z67:AB67+1)*(1+V67*(W67-1))</f>
        <v>2318288.0885467</v>
      </c>
      <c r="U67" s="20" cm="1">
        <f t="array" ref="U67">删MOD取近战属性(U$62,ROWS($J$63:$J67))*(1+删MOD取近战属性("物理",ROWS($J$63:$J67)))</f>
        <v>659.4462</v>
      </c>
      <c r="V67" s="23" cm="1">
        <f t="array" ref="V67">删MOD取近战属性(V$62,ROWS($J$63:$J67))</f>
        <v>0.4945</v>
      </c>
      <c r="W67" s="23" cm="1">
        <f t="array" ref="W67">删MOD取近战属性(W$62,ROWS($J$63:$J67))</f>
        <v>3.75</v>
      </c>
      <c r="X67" s="23" cm="1">
        <f t="array" ref="X67">删MOD取近战属性(X$62,ROWS($J$63:$J67))</f>
        <v>0.1</v>
      </c>
      <c r="Y67" s="20" cm="1">
        <f t="array" ref="Y67">删MOD取近战属性(Y$62,ROWS($J$63:$J67))</f>
        <v>1.75</v>
      </c>
      <c r="Z67" s="23" cm="1">
        <f t="array" ref="Z67">删MOD取近战属性(Z$62,ROWS($J$63:$J67))</f>
        <v>2.75</v>
      </c>
      <c r="AA67" s="23" cm="1">
        <f t="array" ref="AA67">删MOD取近战属性(AA$62,ROWS($J$63:$J67))</f>
        <v>0</v>
      </c>
      <c r="AB67" s="23" cm="1">
        <f t="array" ref="AB67">删MOD取近战属性(AB$62,ROWS($J$63:$J67))</f>
        <v>0.6</v>
      </c>
      <c r="AV67" t="str">
        <v>警惕</v>
      </c>
    </row>
    <row r="68" spans="1:48">
      <c r="A68" s="68" t="s">
        <v>157</v>
      </c>
      <c r="B68" s="93">
        <f>ROUNDUP(B65,0)</f>
        <v>1</v>
      </c>
      <c r="C68" s="78">
        <f>($C$66-1)*B68+1</f>
        <v>3.75</v>
      </c>
      <c r="D68" s="76">
        <f t="shared" si="5"/>
        <v>-0.00337077220699885</v>
      </c>
      <c r="E68" s="69"/>
      <c r="F68" s="93" t="str" cm="1">
        <f t="array" ref="F68">IFERROR(VLOOKUP($E68,_xlfn._xlws.FILTER(武器MOD表[],武器MOD表[类型]=$A$60),MATCH(F$62,武器MOD表[#Headers],0),0),"")</f>
        <v/>
      </c>
      <c r="G68" s="93" t="str" cm="1">
        <f t="array" ref="G68">IFERROR(VLOOKUP($E68,_xlfn._xlws.FILTER(武器MOD表[],武器MOD表[类型]=$A$60),MATCH(G$62,武器MOD表[#Headers],0),0),"")</f>
        <v/>
      </c>
      <c r="H68" s="93" t="str" cm="1">
        <f t="array" ref="H68">IFERROR(VLOOKUP($E68,_xlfn._xlws.FILTER(武器MOD表[],武器MOD表[类型]=$A$60),MATCH(H$62,武器MOD表[#Headers],0),0),"")&amp;""</f>
        <v/>
      </c>
      <c r="I68" s="93" cm="1">
        <f t="array" ref="I68">IF(AND(K68&lt;&gt;"",H68&lt;&gt;""),ROUNDUP(IF(H68=K68,IFERROR(VLOOKUP($E68,_xlfn._xlws.FILTER(武器MOD表[],武器MOD表[类型]=$A$60),7,0)+$J68-IF($G68="金",10,IF($G68="绿",3,5)),0)/2,IFERROR(VLOOKUP($E68,_xlfn._xlws.FILTER(武器MOD表[],武器MOD表[类型]=$A$60),7,0)+$J68-IF($G68="金",10,IF($G68="绿",3,5)),0)*1.5),0),IFERROR(VLOOKUP($E68,_xlfn._xlws.FILTER(武器MOD表[],武器MOD表[类型]=$A$60),7,0)+$J68-IF($G68="金",10,IF($G68="绿",3,5)),0))</f>
        <v>0</v>
      </c>
      <c r="J68" s="106">
        <v>10</v>
      </c>
      <c r="K68" s="69"/>
      <c r="L68" s="68" t="str" cm="1">
        <f t="array" ref="L68">IFERROR(INDEX(武器MOD表[#Headers],SMALL(_xlfn._xlws.FILTER(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,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&lt;&gt;0),ROUNDUP(COLUMNS($L45:L45)/2,0))),"")</f>
        <v/>
      </c>
      <c r="M68" s="78" t="str" cm="1">
        <f t="array" ref="M68">IFERROR(_xlfn.MAP(INDEX(INDEX(武器MOD表[],MATCH(1,(武器MOD表[名称]=$E68)*(武器MOD表[类型]=$A$60),0),),SMALL(_xlfn._xlws.FILTER(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,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&lt;&gt;0),ROUNDUP(COLUMNS($L45:L45)/2,0))),_xlfn.LAMBDA(_xlpm.x,IFERROR(MIN(1,($J68+1)/IF($G68="金",11,IF($G68="绿",4,6)))*_xlpm.x,_xlpm.x))),"")</f>
        <v/>
      </c>
      <c r="N68" s="68" t="str" cm="1">
        <f t="array" ref="N68">IFERROR(INDEX(武器MOD表[#Headers],SMALL(_xlfn._xlws.FILTER(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,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&lt;&gt;0),ROUNDUP(COLUMNS($L45:N45)/2,0))),"")</f>
        <v/>
      </c>
      <c r="O68" s="78" t="str" cm="1">
        <f t="array" ref="O68">IFERROR(_xlfn.MAP(INDEX(INDEX(武器MOD表[],MATCH(1,(武器MOD表[名称]=$E68)*(武器MOD表[类型]=$A$60),0),),SMALL(_xlfn._xlws.FILTER(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,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&lt;&gt;0),ROUNDUP(COLUMNS($L45:N45)/2,0))),_xlfn.LAMBDA(_xlpm.x,IFERROR(MIN(1,($J68+1)/IF($G68="金",11,IF($G68="绿",4,6)))*_xlpm.x,_xlpm.x))),"")</f>
        <v/>
      </c>
      <c r="P68" s="68" t="str" cm="1">
        <f t="array" ref="P68">IFERROR(INDEX(武器MOD表[#Headers],SMALL(_xlfn._xlws.FILTER(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,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&lt;&gt;0),ROUNDUP(COLUMNS($L45:P45)/2,0))),"")</f>
        <v/>
      </c>
      <c r="Q68" s="78" t="str" cm="1">
        <f t="array" ref="Q68">IFERROR(_xlfn.MAP(INDEX(INDEX(武器MOD表[],MATCH(1,(武器MOD表[名称]=$E68)*(武器MOD表[类型]=$A$60),0),),SMALL(_xlfn._xlws.FILTER(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,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&lt;&gt;0),ROUNDUP(COLUMNS($L45:P45)/2,0))),_xlfn.LAMBDA(_xlpm.x,IFERROR(MIN(1,($J68+1)/IF($G68="金",11,IF($G68="绿",4,6)))*_xlpm.x,_xlpm.x))),"")</f>
        <v/>
      </c>
      <c r="R68" s="68" t="str" cm="1">
        <f t="array" ref="R68">IFERROR(INDEX(武器MOD表[#Headers],SMALL(_xlfn._xlws.FILTER(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,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&lt;&gt;0),ROUNDUP(COLUMNS($L45:R45)/2,0))),"")</f>
        <v/>
      </c>
      <c r="S68" s="78" t="str" cm="1">
        <f t="array" ref="S68">IFERROR(_xlfn.MAP(INDEX(INDEX(武器MOD表[],MATCH(1,(武器MOD表[名称]=$E68)*(武器MOD表[类型]=$A$60),0),),SMALL(_xlfn._xlws.FILTER(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,COLUMN(_xlfn.DROP(INDEX(武器MOD表[],MATCH(1,(武器MOD表[名称]=$E68)*(武器MOD表[类型]=$A$60),0),),,MATCH("耐受",武器MOD表[#Headers],0)))*(_xlfn.DROP(INDEX(武器MOD表[],MATCH(1,(武器MOD表[名称]=$E68)*(武器MOD表[类型]=$A$60),0),),,MATCH("耐受",武器MOD表[#Headers],0))&lt;&gt;"")&lt;&gt;0),ROUNDUP(COLUMNS($L45:R45)/2,0))),_xlfn.LAMBDA(_xlpm.x,IFERROR(MIN(1,($J68+1)/IF($G68="金",11,IF($G68="绿",4,6)))*_xlpm.x,_xlpm.x))),"")</f>
        <v/>
      </c>
      <c r="T68" s="20" cm="1">
        <f t="array" ref="T68">近战倍率*触发乘区(近战伤害类型,U68,U68+角色攻击*(1-敌方抗性+属性穿透),X68)*(U68+角色攻击*(1-敌方抗性+属性穿透))*昂扬背水乘区(昂扬,背水)*防御乘区(无视防御)*Y68*PRODUCT(Z68:AB68+1)*(1+V68*(W68-1))</f>
        <v>2318288.0885467</v>
      </c>
      <c r="U68" s="20" cm="1">
        <f t="array" ref="U68">删MOD取近战属性(U$62,ROWS($J$63:$J68))*(1+删MOD取近战属性("物理",ROWS($J$63:$J68)))</f>
        <v>659.4462</v>
      </c>
      <c r="V68" s="23" cm="1">
        <f t="array" ref="V68">删MOD取近战属性(V$62,ROWS($J$63:$J68))</f>
        <v>0.4945</v>
      </c>
      <c r="W68" s="23" cm="1">
        <f t="array" ref="W68">删MOD取近战属性(W$62,ROWS($J$63:$J68))</f>
        <v>3.75</v>
      </c>
      <c r="X68" s="23" cm="1">
        <f t="array" ref="X68">删MOD取近战属性(X$62,ROWS($J$63:$J68))</f>
        <v>0.1</v>
      </c>
      <c r="Y68" s="20" cm="1">
        <f t="array" ref="Y68">删MOD取近战属性(Y$62,ROWS($J$63:$J68))</f>
        <v>1.75</v>
      </c>
      <c r="Z68" s="23" cm="1">
        <f t="array" ref="Z68">删MOD取近战属性(Z$62,ROWS($J$63:$J68))</f>
        <v>2.75</v>
      </c>
      <c r="AA68" s="23" cm="1">
        <f t="array" ref="AA68">删MOD取近战属性(AA$62,ROWS($J$63:$J68))</f>
        <v>0</v>
      </c>
      <c r="AB68" s="23" cm="1">
        <f t="array" ref="AB68">删MOD取近战属性(AB$62,ROWS($J$63:$J68))</f>
        <v>0.6</v>
      </c>
      <c r="AV68" t="str">
        <v>救济</v>
      </c>
    </row>
    <row r="69" spans="1:48">
      <c r="A69" s="68" t="s">
        <v>149</v>
      </c>
      <c r="B69" s="78">
        <f>IFERROR(VLOOKUP(近战武器,近战武器表[],MATCH("基础"&amp;A69,近战武器表[#Headers],0),0),"")</f>
        <v>0.1</v>
      </c>
      <c r="C69" s="78" cm="1">
        <f t="array" ref="C69">B69*SUM(1,IFERROR((5+$D$60)/10*VLOOKUP(近战武器,近战武器表[],MATCH(A69,近战武器表[#Headers],0),0),0),IFERROR(_xlfn.MAP(($J$63:$J$70+1)/IF($G$63:$G$70="金",11,IF($G$63:$G$70="绿",4,6)),_xlfn.LAMBDA(_xlpm.a,IF(_xlpm.a&gt;1,1,_xlpm.a)))*_xlfn.MAP($E$63:$E$70,_xlfn.LAMBDA(_xlpm.b,INDEX(武器MOD表[],MATCH(1,(武器MOD表[名称]=_xlpm.b)*(武器MOD表[类型]=$A$60),0),MATCH(A69,武器MOD表[#Headers],0)))),0),IFERROR(BUFF层数乘数*VLOOKUP(BUFF,BUFF表[],MATCH(A69,BUFF表[#Headers],0),0),0))</f>
        <v>0.1</v>
      </c>
      <c r="D69" s="76">
        <f t="shared" si="5"/>
        <v>-0.00337077220699885</v>
      </c>
      <c r="E69" s="69"/>
      <c r="F69" s="93" t="str" cm="1">
        <f t="array" ref="F69">IFERROR(VLOOKUP($E69,_xlfn._xlws.FILTER(武器MOD表[],武器MOD表[类型]=$A$60),MATCH(F$62,武器MOD表[#Headers],0),0),"")</f>
        <v/>
      </c>
      <c r="G69" s="93" t="str" cm="1">
        <f t="array" ref="G69">IFERROR(VLOOKUP($E69,_xlfn._xlws.FILTER(武器MOD表[],武器MOD表[类型]=$A$60),MATCH(G$62,武器MOD表[#Headers],0),0),"")</f>
        <v/>
      </c>
      <c r="H69" s="93" t="str" cm="1">
        <f t="array" ref="H69">IFERROR(VLOOKUP($E69,_xlfn._xlws.FILTER(武器MOD表[],武器MOD表[类型]=$A$60),MATCH(H$62,武器MOD表[#Headers],0),0),"")&amp;""</f>
        <v/>
      </c>
      <c r="I69" s="93" cm="1">
        <f t="array" ref="I69">IF(AND(K69&lt;&gt;"",H69&lt;&gt;""),ROUNDUP(IF(H69=K69,IFERROR(VLOOKUP($E69,_xlfn._xlws.FILTER(武器MOD表[],武器MOD表[类型]=$A$60),7,0)+$J69-IF($G69="金",10,IF($G69="绿",3,5)),0)/2,IFERROR(VLOOKUP($E69,_xlfn._xlws.FILTER(武器MOD表[],武器MOD表[类型]=$A$60),7,0)+$J69-IF($G69="金",10,IF($G69="绿",3,5)),0)*1.5),0),IFERROR(VLOOKUP($E69,_xlfn._xlws.FILTER(武器MOD表[],武器MOD表[类型]=$A$60),7,0)+$J69-IF($G69="金",10,IF($G69="绿",3,5)),0))</f>
        <v>0</v>
      </c>
      <c r="J69" s="106">
        <v>10</v>
      </c>
      <c r="K69" s="69"/>
      <c r="L69" s="68" t="str" cm="1">
        <f t="array" ref="L69">IFERROR(INDEX(武器MOD表[#Headers],SMALL(_xlfn._xlws.FILTER(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,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&lt;&gt;0),ROUNDUP(COLUMNS($L46:L46)/2,0))),"")</f>
        <v/>
      </c>
      <c r="M69" s="78" t="str" cm="1">
        <f t="array" ref="M69">IFERROR(_xlfn.MAP(INDEX(INDEX(武器MOD表[],MATCH(1,(武器MOD表[名称]=$E69)*(武器MOD表[类型]=$A$60),0),),SMALL(_xlfn._xlws.FILTER(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,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&lt;&gt;0),ROUNDUP(COLUMNS($L46:L46)/2,0))),_xlfn.LAMBDA(_xlpm.x,IFERROR(MIN(1,($J69+1)/IF($G69="金",11,IF($G69="绿",4,6)))*_xlpm.x,_xlpm.x))),"")</f>
        <v/>
      </c>
      <c r="N69" s="68" t="str" cm="1">
        <f t="array" ref="N69">IFERROR(INDEX(武器MOD表[#Headers],SMALL(_xlfn._xlws.FILTER(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,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&lt;&gt;0),ROUNDUP(COLUMNS($L46:N46)/2,0))),"")</f>
        <v/>
      </c>
      <c r="O69" s="78" t="str" cm="1">
        <f t="array" ref="O69">IFERROR(_xlfn.MAP(INDEX(INDEX(武器MOD表[],MATCH(1,(武器MOD表[名称]=$E69)*(武器MOD表[类型]=$A$60),0),),SMALL(_xlfn._xlws.FILTER(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,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&lt;&gt;0),ROUNDUP(COLUMNS($L46:N46)/2,0))),_xlfn.LAMBDA(_xlpm.x,IFERROR(MIN(1,($J69+1)/IF($G69="金",11,IF($G69="绿",4,6)))*_xlpm.x,_xlpm.x))),"")</f>
        <v/>
      </c>
      <c r="P69" s="68" t="str" cm="1">
        <f t="array" ref="P69">IFERROR(INDEX(武器MOD表[#Headers],SMALL(_xlfn._xlws.FILTER(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,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&lt;&gt;0),ROUNDUP(COLUMNS($L46:P46)/2,0))),"")</f>
        <v/>
      </c>
      <c r="Q69" s="78" t="str" cm="1">
        <f t="array" ref="Q69">IFERROR(_xlfn.MAP(INDEX(INDEX(武器MOD表[],MATCH(1,(武器MOD表[名称]=$E69)*(武器MOD表[类型]=$A$60),0),),SMALL(_xlfn._xlws.FILTER(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,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&lt;&gt;0),ROUNDUP(COLUMNS($L46:P46)/2,0))),_xlfn.LAMBDA(_xlpm.x,IFERROR(MIN(1,($J69+1)/IF($G69="金",11,IF($G69="绿",4,6)))*_xlpm.x,_xlpm.x))),"")</f>
        <v/>
      </c>
      <c r="R69" s="68" t="str" cm="1">
        <f t="array" ref="R69">IFERROR(INDEX(武器MOD表[#Headers],SMALL(_xlfn._xlws.FILTER(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,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&lt;&gt;0),ROUNDUP(COLUMNS($L46:R46)/2,0))),"")</f>
        <v/>
      </c>
      <c r="S69" s="78" t="str" cm="1">
        <f t="array" ref="S69">IFERROR(_xlfn.MAP(INDEX(INDEX(武器MOD表[],MATCH(1,(武器MOD表[名称]=$E69)*(武器MOD表[类型]=$A$60),0),),SMALL(_xlfn._xlws.FILTER(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,COLUMN(_xlfn.DROP(INDEX(武器MOD表[],MATCH(1,(武器MOD表[名称]=$E69)*(武器MOD表[类型]=$A$60),0),),,MATCH("耐受",武器MOD表[#Headers],0)))*(_xlfn.DROP(INDEX(武器MOD表[],MATCH(1,(武器MOD表[名称]=$E69)*(武器MOD表[类型]=$A$60),0),),,MATCH("耐受",武器MOD表[#Headers],0))&lt;&gt;"")&lt;&gt;0),ROUNDUP(COLUMNS($L46:R46)/2,0))),_xlfn.LAMBDA(_xlpm.x,IFERROR(MIN(1,($J69+1)/IF($G69="金",11,IF($G69="绿",4,6)))*_xlpm.x,_xlpm.x))),"")</f>
        <v/>
      </c>
      <c r="T69" s="20" cm="1">
        <f t="array" ref="T69">近战倍率*触发乘区(近战伤害类型,U69,U69+角色攻击*(1-敌方抗性+属性穿透),X69)*(U69+角色攻击*(1-敌方抗性+属性穿透))*昂扬背水乘区(昂扬,背水)*防御乘区(无视防御)*Y69*PRODUCT(Z69:AB69+1)*(1+V69*(W69-1))</f>
        <v>2318288.0885467</v>
      </c>
      <c r="U69" s="20" cm="1">
        <f t="array" ref="U69">删MOD取近战属性(U$62,ROWS($J$63:$J69))*(1+删MOD取近战属性("物理",ROWS($J$63:$J69)))</f>
        <v>659.4462</v>
      </c>
      <c r="V69" s="23" cm="1">
        <f t="array" ref="V69">删MOD取近战属性(V$62,ROWS($J$63:$J69))</f>
        <v>0.4945</v>
      </c>
      <c r="W69" s="23" cm="1">
        <f t="array" ref="W69">删MOD取近战属性(W$62,ROWS($J$63:$J69))</f>
        <v>3.75</v>
      </c>
      <c r="X69" s="23" cm="1">
        <f t="array" ref="X69">删MOD取近战属性(X$62,ROWS($J$63:$J69))</f>
        <v>0.1</v>
      </c>
      <c r="Y69" s="20" cm="1">
        <f t="array" ref="Y69">删MOD取近战属性(Y$62,ROWS($J$63:$J69))</f>
        <v>1.75</v>
      </c>
      <c r="Z69" s="23" cm="1">
        <f t="array" ref="Z69">删MOD取近战属性(Z$62,ROWS($J$63:$J69))</f>
        <v>2.75</v>
      </c>
      <c r="AA69" s="23" cm="1">
        <f t="array" ref="AA69">删MOD取近战属性(AA$62,ROWS($J$63:$J69))</f>
        <v>0</v>
      </c>
      <c r="AB69" s="23" cm="1">
        <f t="array" ref="AB69">删MOD取近战属性(AB$62,ROWS($J$63:$J69))</f>
        <v>0.6</v>
      </c>
      <c r="AV69" t="str">
        <v>受身</v>
      </c>
    </row>
    <row r="70" spans="1:48">
      <c r="A70" s="68" t="s">
        <v>150</v>
      </c>
      <c r="B70" s="93">
        <v>1</v>
      </c>
      <c r="C70" s="93" cm="1">
        <f t="array" ref="C70">B70*SUM(1,IFERROR((5+$D$60)/10*VLOOKUP(近战武器,近战武器表[],MATCH(A70,近战武器表[#Headers],0),0),0),IFERROR(_xlfn.MAP(($J$63:$J$70+1)/IF($G$63:$G$70="金",11,IF($G$63:$G$70="绿",4,6)),_xlfn.LAMBDA(_xlpm.a,IF(_xlpm.a&gt;1,1,_xlpm.a)))*_xlfn.MAP($E$63:$E$70,_xlfn.LAMBDA(_xlpm.b,INDEX(武器MOD表[],MATCH(1,(武器MOD表[名称]=_xlpm.b)*(武器MOD表[类型]=$A$60),0),MATCH(A70,武器MOD表[#Headers],0)))),0),IFERROR(BUFF层数乘数*VLOOKUP(BUFF,BUFF表[],MATCH(A70,BUFF表[#Headers],0),0),0))</f>
        <v>1.75</v>
      </c>
      <c r="D70" s="76">
        <f t="shared" si="5"/>
        <v>-0.00337077220699885</v>
      </c>
      <c r="E70" s="69"/>
      <c r="F70" s="93" t="str" cm="1">
        <f t="array" ref="F70">IFERROR(VLOOKUP($E70,_xlfn._xlws.FILTER(武器MOD表[],武器MOD表[类型]=$A$60),MATCH(F$62,武器MOD表[#Headers],0),0),"")</f>
        <v/>
      </c>
      <c r="G70" s="93" t="str" cm="1">
        <f t="array" ref="G70">IFERROR(VLOOKUP($E70,_xlfn._xlws.FILTER(武器MOD表[],武器MOD表[类型]=$A$60),MATCH(G$62,武器MOD表[#Headers],0),0),"")</f>
        <v/>
      </c>
      <c r="H70" s="93" t="str" cm="1">
        <f t="array" ref="H70">IFERROR(VLOOKUP($E70,_xlfn._xlws.FILTER(武器MOD表[],武器MOD表[类型]=$A$60),MATCH(H$62,武器MOD表[#Headers],0),0),"")&amp;""</f>
        <v/>
      </c>
      <c r="I70" s="93" cm="1">
        <f t="array" ref="I70">IF(AND(K70&lt;&gt;"",H70&lt;&gt;""),ROUNDUP(IF(H70=K70,IFERROR(VLOOKUP($E70,_xlfn._xlws.FILTER(武器MOD表[],武器MOD表[类型]=$A$60),7,0)+$J70-IF($G70="金",10,IF($G70="绿",3,5)),0)/2,IFERROR(VLOOKUP($E70,_xlfn._xlws.FILTER(武器MOD表[],武器MOD表[类型]=$A$60),7,0)+$J70-IF($G70="金",10,IF($G70="绿",3,5)),0)*1.5),0),IFERROR(VLOOKUP($E70,_xlfn._xlws.FILTER(武器MOD表[],武器MOD表[类型]=$A$60),7,0)+$J70-IF($G70="金",10,IF($G70="绿",3,5)),0))</f>
        <v>0</v>
      </c>
      <c r="J70" s="106">
        <v>10</v>
      </c>
      <c r="K70" s="69"/>
      <c r="L70" s="68" t="str" cm="1">
        <f t="array" ref="L70">IFERROR(INDEX(武器MOD表[#Headers],SMALL(_xlfn._xlws.FILTER(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,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&lt;&gt;0),ROUNDUP(COLUMNS($L47:L47)/2,0))),"")</f>
        <v/>
      </c>
      <c r="M70" s="78" t="str" cm="1">
        <f t="array" ref="M70">IFERROR(_xlfn.MAP(INDEX(INDEX(武器MOD表[],MATCH(1,(武器MOD表[名称]=$E70)*(武器MOD表[类型]=$A$60),0),),SMALL(_xlfn._xlws.FILTER(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,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&lt;&gt;0),ROUNDUP(COLUMNS($L47:L47)/2,0))),_xlfn.LAMBDA(_xlpm.x,IFERROR(MIN(1,($J70+1)/IF($G70="金",11,IF($G70="绿",4,6)))*_xlpm.x,_xlpm.x))),"")</f>
        <v/>
      </c>
      <c r="N70" s="68" t="str" cm="1">
        <f t="array" ref="N70">IFERROR(INDEX(武器MOD表[#Headers],SMALL(_xlfn._xlws.FILTER(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,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&lt;&gt;0),ROUNDUP(COLUMNS($L47:N47)/2,0))),"")</f>
        <v/>
      </c>
      <c r="O70" s="78" t="str" cm="1">
        <f t="array" ref="O70">IFERROR(_xlfn.MAP(INDEX(INDEX(武器MOD表[],MATCH(1,(武器MOD表[名称]=$E70)*(武器MOD表[类型]=$A$60),0),),SMALL(_xlfn._xlws.FILTER(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,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&lt;&gt;0),ROUNDUP(COLUMNS($L47:N47)/2,0))),_xlfn.LAMBDA(_xlpm.x,IFERROR(MIN(1,($J70+1)/IF($G70="金",11,IF($G70="绿",4,6)))*_xlpm.x,_xlpm.x))),"")</f>
        <v/>
      </c>
      <c r="P70" s="68" t="str" cm="1">
        <f t="array" ref="P70">IFERROR(INDEX(武器MOD表[#Headers],SMALL(_xlfn._xlws.FILTER(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,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&lt;&gt;0),ROUNDUP(COLUMNS($L47:P47)/2,0))),"")</f>
        <v/>
      </c>
      <c r="Q70" s="78" t="str" cm="1">
        <f t="array" ref="Q70">IFERROR(_xlfn.MAP(INDEX(INDEX(武器MOD表[],MATCH(1,(武器MOD表[名称]=$E70)*(武器MOD表[类型]=$A$60),0),),SMALL(_xlfn._xlws.FILTER(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,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&lt;&gt;0),ROUNDUP(COLUMNS($L47:P47)/2,0))),_xlfn.LAMBDA(_xlpm.x,IFERROR(MIN(1,($J70+1)/IF($G70="金",11,IF($G70="绿",4,6)))*_xlpm.x,_xlpm.x))),"")</f>
        <v/>
      </c>
      <c r="R70" s="68" t="str" cm="1">
        <f t="array" ref="R70">IFERROR(INDEX(武器MOD表[#Headers],SMALL(_xlfn._xlws.FILTER(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,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&lt;&gt;0),ROUNDUP(COLUMNS($L47:R47)/2,0))),"")</f>
        <v/>
      </c>
      <c r="S70" s="78" t="str" cm="1">
        <f t="array" ref="S70">IFERROR(_xlfn.MAP(INDEX(INDEX(武器MOD表[],MATCH(1,(武器MOD表[名称]=$E70)*(武器MOD表[类型]=$A$60),0),),SMALL(_xlfn._xlws.FILTER(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,COLUMN(_xlfn.DROP(INDEX(武器MOD表[],MATCH(1,(武器MOD表[名称]=$E70)*(武器MOD表[类型]=$A$60),0),),,MATCH("耐受",武器MOD表[#Headers],0)))*(_xlfn.DROP(INDEX(武器MOD表[],MATCH(1,(武器MOD表[名称]=$E70)*(武器MOD表[类型]=$A$60),0),),,MATCH("耐受",武器MOD表[#Headers],0))&lt;&gt;"")&lt;&gt;0),ROUNDUP(COLUMNS($L47:R47)/2,0))),_xlfn.LAMBDA(_xlpm.x,IFERROR(MIN(1,($J70+1)/IF($G70="金",11,IF($G70="绿",4,6)))*_xlpm.x,_xlpm.x))),"")</f>
        <v/>
      </c>
      <c r="T70" s="20" cm="1">
        <f t="array" ref="T70">近战倍率*触发乘区(近战伤害类型,U70,U70+角色攻击*(1-敌方抗性+属性穿透),X70)*(U70+角色攻击*(1-敌方抗性+属性穿透))*昂扬背水乘区(昂扬,背水)*防御乘区(无视防御)*Y70*PRODUCT(Z70:AB70+1)*(1+V70*(W70-1))</f>
        <v>2318288.0885467</v>
      </c>
      <c r="U70" s="20" cm="1">
        <f t="array" ref="U70">删MOD取近战属性(U$62,ROWS($J$63:$J70))*(1+删MOD取近战属性("物理",ROWS($J$63:$J70)))</f>
        <v>659.4462</v>
      </c>
      <c r="V70" s="23" cm="1">
        <f t="array" ref="V70">删MOD取近战属性(V$62,ROWS($J$63:$J70))</f>
        <v>0.4945</v>
      </c>
      <c r="W70" s="23" cm="1">
        <f t="array" ref="W70">删MOD取近战属性(W$62,ROWS($J$63:$J70))</f>
        <v>3.75</v>
      </c>
      <c r="X70" s="23" cm="1">
        <f t="array" ref="X70">删MOD取近战属性(X$62,ROWS($J$63:$J70))</f>
        <v>0.1</v>
      </c>
      <c r="Y70" s="20" cm="1">
        <f t="array" ref="Y70">删MOD取近战属性(Y$62,ROWS($J$63:$J70))</f>
        <v>1.75</v>
      </c>
      <c r="Z70" s="23" cm="1">
        <f t="array" ref="Z70">删MOD取近战属性(Z$62,ROWS($J$63:$J70))</f>
        <v>2.75</v>
      </c>
      <c r="AA70" s="23" cm="1">
        <f t="array" ref="AA70">删MOD取近战属性(AA$62,ROWS($J$63:$J70))</f>
        <v>0</v>
      </c>
      <c r="AB70" s="23" cm="1">
        <f t="array" ref="AB70">删MOD取近战属性(AB$62,ROWS($J$63:$J70))</f>
        <v>0.6</v>
      </c>
      <c r="AV70" t="str">
        <v>退避</v>
      </c>
    </row>
    <row r="71" spans="1:48">
      <c r="A71" s="68" t="s">
        <v>64</v>
      </c>
      <c r="B71" s="93">
        <v>0</v>
      </c>
      <c r="C71" s="93" cm="1">
        <f t="array" ref="C71">B71*SUM(1,IFERROR((5+$D$60)/10*VLOOKUP(近战武器,近战武器表[],MATCH(A71,近战武器表[#Headers],0),0),0),IFERROR(_xlfn.MAP(($J$63:$J$70+1)/IF($G$63:$G$70="金",11,IF($G$63:$G$70="绿",4,6)),_xlfn.LAMBDA(_xlpm.a,IF(_xlpm.a&gt;1,1,_xlpm.a)))*_xlfn.MAP($E$63:$E$70,_xlfn.LAMBDA(_xlpm.b,INDEX(武器MOD表[],MATCH(1,(武器MOD表[名称]=_xlpm.b)*(武器MOD表[类型]=$A$60),0),MATCH(A71,武器MOD表[#Headers],0)))),0),IFERROR(BUFF层数乘数*VLOOKUP(BUFF,BUFF表[],MATCH(A71,BUFF表[#Headers],0),0),0))</f>
        <v>0</v>
      </c>
      <c r="D71" s="79" cm="1">
        <f t="array" ref="D71">PRODUCT(D63:D70+1)-1</f>
        <v>2.61381898969876</v>
      </c>
      <c r="E71" s="68" t="s">
        <v>50</v>
      </c>
      <c r="F71" s="149" t="str">
        <f>SUM(I63:I70)&amp;"/100"</f>
        <v>58/100</v>
      </c>
      <c r="G71" s="150"/>
      <c r="H71" s="150"/>
      <c r="I71" s="158"/>
      <c r="J71" s="68" t="s">
        <v>86</v>
      </c>
      <c r="K71" s="159">
        <f>LEN(_xlfn.CONCAT(K63:K70))</f>
        <v>0</v>
      </c>
      <c r="L71" s="81" t="s">
        <v>158</v>
      </c>
      <c r="M71" s="81"/>
      <c r="N71" s="81"/>
      <c r="O71" s="81"/>
      <c r="P71" s="81"/>
      <c r="AV71" t="str">
        <v>凛风·决断</v>
      </c>
    </row>
    <row r="72" customFormat="1" spans="1:48">
      <c r="A72" s="68" t="s">
        <v>159</v>
      </c>
      <c r="B72" s="75">
        <f>B64+$C$7</f>
        <v>6372.83763763837</v>
      </c>
      <c r="C72" s="75">
        <f>C64+C7</f>
        <v>6646.22613763837</v>
      </c>
      <c r="D72" s="80" t="s">
        <v>89</v>
      </c>
      <c r="E72" s="98" t="str" cm="1">
        <f ca="1" t="array" ref="E72">TRIM(_xlfn.TEXTJOIN("",1,"W",IFERROR(INDEX(代码表[代码],MATCH(近战武器,代码表[名称],0),0),"0000"),_xlfn.MAP(_xlfn.MAP({1,4,2,3,5,8,6,7},_xlfn.LAMBDA(_xlpm.x,ADDRESS(ROW()-10+_xlpm.x,COLUMN()))),_xlfn.LAMBDA(_xlpm.x,IFERROR(INDEX(#REF!,MATCH(1,((代码表[类型]=B62)+(代码表[类型]=A60))*((代码表[品质]=OFFSET(INDIRECT(_xlpm.x),0,2))+(OFFSET(INDIRECT(_xlpm.x),0,2)=""))*(代码表[名称]=IF(ISNUMBER(FIND("(",INDIRECT(_xlpm.x))),LEFT(INDIRECT(_xlpm.x),FIND("(",INDIRECT(_xlpm.x))-1),INDIRECT(_xlpm.x))),0),MATCH("代码",代码表[#Headers],0)),"0000")))))</f>
        <v>W07VG00000000000000000000000000000000</v>
      </c>
      <c r="F72" s="99"/>
      <c r="G72" s="99"/>
      <c r="H72" s="99"/>
      <c r="I72" s="99"/>
      <c r="J72" s="99"/>
      <c r="K72" s="99"/>
      <c r="L72" s="99"/>
      <c r="M72" s="110"/>
      <c r="AV72" t="str">
        <v>炽灼</v>
      </c>
    </row>
    <row r="73" spans="1:48">
      <c r="A73" s="68" t="s">
        <v>100</v>
      </c>
      <c r="B73" s="85" t="s">
        <v>160</v>
      </c>
      <c r="C73" s="87" cm="1">
        <f t="array" ref="C73">IFERROR(INDEX(近战倍率表[倍率],MATCH(1,(近战倍率表[武器类型]=B62)*(近战倍率表[名称]=B73),0)),1)</f>
        <v>1</v>
      </c>
      <c r="D73" s="81" t="s">
        <v>161</v>
      </c>
      <c r="E73" s="81"/>
      <c r="F73" s="81"/>
      <c r="G73" s="81"/>
      <c r="H73" s="81"/>
      <c r="I73" s="81"/>
      <c r="J73" s="81"/>
      <c r="K73" s="81"/>
      <c r="L73" s="81"/>
      <c r="M73" s="81"/>
      <c r="V73" s="2"/>
      <c r="W73" s="2"/>
      <c r="X73" s="2"/>
      <c r="AV73" t="str">
        <v>涅槃</v>
      </c>
    </row>
    <row r="74" customFormat="1" spans="1:48">
      <c r="A74" s="68" t="s">
        <v>162</v>
      </c>
      <c r="B74" s="85" t="s">
        <v>163</v>
      </c>
      <c r="C74" s="139">
        <f>IF(ISNUMBER(FIND("蓄力攻击",B73)),IF(B74="S",8,IF(B74="A",5,IF(B74="B",4,IF(B74="C",2,1)))),1)</f>
        <v>1</v>
      </c>
      <c r="D74" s="82" t="s">
        <v>45</v>
      </c>
      <c r="E74" s="18" t="s">
        <v>46</v>
      </c>
      <c r="F74" s="105" t="s">
        <v>53</v>
      </c>
      <c r="G74" s="105"/>
      <c r="H74" s="105" t="s">
        <v>54</v>
      </c>
      <c r="I74" s="105"/>
      <c r="J74" s="105" t="s">
        <v>55</v>
      </c>
      <c r="K74" s="105"/>
      <c r="L74" s="105" t="s">
        <v>56</v>
      </c>
      <c r="M74" s="105"/>
      <c r="N74" s="105" t="s">
        <v>92</v>
      </c>
      <c r="O74" s="105"/>
      <c r="P74" s="105"/>
      <c r="Q74" s="105"/>
      <c r="R74" s="105"/>
      <c r="S74" s="105"/>
      <c r="T74" s="20" t="s">
        <v>57</v>
      </c>
      <c r="U74" s="20" t="s">
        <v>164</v>
      </c>
      <c r="V74" s="20" t="s">
        <v>58</v>
      </c>
      <c r="W74" s="20" t="s">
        <v>147</v>
      </c>
      <c r="X74" s="20" t="s">
        <v>148</v>
      </c>
      <c r="Y74" s="20" t="s">
        <v>149</v>
      </c>
      <c r="Z74" s="20" t="s">
        <v>150</v>
      </c>
      <c r="AA74" s="18" t="s">
        <v>67</v>
      </c>
      <c r="AB74" s="18" t="s">
        <v>70</v>
      </c>
      <c r="AC74" s="18" t="s">
        <v>151</v>
      </c>
      <c r="AD74" s="20" t="s">
        <v>65</v>
      </c>
      <c r="AE74" s="20" t="s">
        <v>66</v>
      </c>
      <c r="AF74" s="18" t="s">
        <v>69</v>
      </c>
      <c r="AG74" s="18" t="s">
        <v>71</v>
      </c>
      <c r="AV74" t="str">
        <v>庇佑</v>
      </c>
    </row>
    <row r="75" customFormat="1" spans="1:48">
      <c r="A75" s="83" t="s">
        <v>165</v>
      </c>
      <c r="B75" s="140" cm="1">
        <f t="array" ref="B75">IFERROR(INDEX(近战倍率表[段数],MATCH(1,(近战倍率表[武器类型]=B62)*(近战倍率表[名称]=B73),0)),1)</f>
        <v>1</v>
      </c>
      <c r="C75" s="141"/>
      <c r="D75" s="76">
        <f>(E$81-T75)/T75</f>
        <v>0.247372261436227</v>
      </c>
      <c r="E75" s="69" t="s">
        <v>109</v>
      </c>
      <c r="F75" s="102" t="str">
        <f ca="1">IFERROR(OFFSET($E$19,MATCH($E75,BUFF,0)-1,COLUMNS($F75:F75)+1),"")</f>
        <v>暴击</v>
      </c>
      <c r="G75" s="103">
        <f ca="1">IFERROR(OFFSET($E$19,MATCH($E75,BUFF,0)-1,COLUMNS($F75:G75)+1),"")</f>
        <v>0.75</v>
      </c>
      <c r="H75" s="102" t="str">
        <f ca="1">IFERROR(OFFSET($E$19,MATCH($E75,BUFF,0)-1,COLUMNS($F75:H75)+1),"")</f>
        <v/>
      </c>
      <c r="I75" s="103" t="str">
        <f ca="1">IFERROR(OFFSET($E$19,MATCH($E75,BUFF,0)-1,COLUMNS($F75:I75)+1),"")</f>
        <v/>
      </c>
      <c r="J75" s="102" t="str">
        <f ca="1">IFERROR(OFFSET($E$19,MATCH($E75,BUFF,0)-1,COLUMNS($F75:J75)+1),"")</f>
        <v/>
      </c>
      <c r="K75" s="103" t="str">
        <f ca="1">IFERROR(OFFSET($E$19,MATCH($E75,BUFF,0)-1,COLUMNS($F75:K75)+1),"")</f>
        <v/>
      </c>
      <c r="L75" s="102" t="str">
        <f ca="1">IFERROR(OFFSET($E$19,MATCH($E75,BUFF,0)-1,COLUMNS($F75:L75)+1),"")</f>
        <v/>
      </c>
      <c r="M75" s="103" t="str">
        <f ca="1">IFERROR(OFFSET($E$19,MATCH($E75,BUFF,0)-1,COLUMNS($F75:M75)+1),"")</f>
        <v/>
      </c>
      <c r="N75" s="105" t="str">
        <f>IFERROR(VLOOKUP(E75,BUFF表[],MATCH("描述",BUFF表[#Headers],0),0),"")</f>
        <v>光属性角色周围的敌人受到武器伤害时，暴击率提高60%，对带有额外效果负面状态的目标额外提高15%。</v>
      </c>
      <c r="O75" s="105"/>
      <c r="P75" s="105"/>
      <c r="Q75" s="105"/>
      <c r="R75" s="105"/>
      <c r="S75" s="105"/>
      <c r="T75" s="20" cm="1">
        <f t="array" ref="T75">近战倍率*触发乘区(近战伤害类型,V75,U75+V75,Y75)*(V75+U75*(1-敌方抗性+AF75))*昂扬背水乘区(AD75,AE75)*防御乘区(AG75)*Z75*PRODUCT(AA75:AC75+1)*(1+W75*(X75-1))</f>
        <v>1852272.76485187</v>
      </c>
      <c r="U75" s="20" cm="1">
        <f t="array" ref="U75">删BUFF取角色属性(V$74,MATCH($E75,BUFF,0))*(1+删BUFF取角色属性("属性伤",MATCH($E75,BUFF,0)))</f>
        <v>6096.68763763837</v>
      </c>
      <c r="V75" s="20" cm="1">
        <f t="array" ref="V75">删BUFF取近战属性(V$74,MATCH($E75,BUFF,0))*(1+删BUFF取近战属性("物理",MATCH($E75,BUFF,0)))</f>
        <v>659.4462</v>
      </c>
      <c r="W75" s="23" cm="1">
        <f t="array" ref="W75">删BUFF取近战属性(W$74,MATCH($E75,BUFF,0))</f>
        <v>0.322</v>
      </c>
      <c r="X75" s="23" cm="1">
        <f t="array" ref="X75">删BUFF取近战属性(X$74,MATCH($E75,BUFF,0))</f>
        <v>3.75</v>
      </c>
      <c r="Y75" s="23" cm="1">
        <f t="array" ref="Y75">删BUFF取近战属性(Y$74,MATCH($E75,BUFF,0))</f>
        <v>0.1</v>
      </c>
      <c r="Z75" s="20" cm="1">
        <f t="array" ref="Z75">删BUFF取近战属性(Z$74,MATCH($E75,BUFF,0))</f>
        <v>1.75</v>
      </c>
      <c r="AA75" s="23" cm="1">
        <f t="array" ref="AA75">删BUFF取近战属性(AA$74,MATCH($E75,BUFF,0))</f>
        <v>2.75</v>
      </c>
      <c r="AB75" s="23" cm="1">
        <f t="array" ref="AB75">删BUFF取近战属性(AB$74,MATCH($E75,BUFF,0))</f>
        <v>0</v>
      </c>
      <c r="AC75" s="23" cm="1">
        <f t="array" ref="AC75">删BUFF取近战属性(AC$74,MATCH($E75,BUFF,0))</f>
        <v>0.6</v>
      </c>
      <c r="AD75" s="23" cm="1">
        <f t="array" ref="AD75">删BUFF取近战属性(AD$74,MATCH($E75,BUFF,0))</f>
        <v>0</v>
      </c>
      <c r="AE75" s="23" cm="1">
        <f t="array" ref="AE75">删BUFF取近战属性(AE$74,MATCH($E75,BUFF,0))</f>
        <v>0.83008</v>
      </c>
      <c r="AF75" s="23" cm="1">
        <f t="array" ref="AF75">删BUFF取近战属性(AF$74,MATCH($E75,BUFF,0))</f>
        <v>0.24</v>
      </c>
      <c r="AG75" s="23" cm="1">
        <f t="array" ref="AG75">删BUFF取近战属性(AG$74,MATCH($E75,BUFF,0))</f>
        <v>0</v>
      </c>
      <c r="AV75" t="str">
        <v>羽翼</v>
      </c>
    </row>
    <row r="76" customFormat="1" spans="1:48">
      <c r="A76" s="68" t="s">
        <v>67</v>
      </c>
      <c r="B76" s="78">
        <f>$C$18+$C$20</f>
        <v>2.75</v>
      </c>
      <c r="C76" s="78" cm="1">
        <f t="array" ref="C76">B76+SUM(IFERROR(_xlfn.MAP(($J$63:$J$70+1)/IF($G$63:$G$70="金",11,IF($G$63:$G$70="绿",4,6)),_xlfn.LAMBDA(_xlpm.a,IF(_xlpm.a&gt;1,1,_xlpm.a)))*INDEX(_xlfn._xlws.FILTER(武器MOD表[],ISNUMBER(MATCH(武器MOD表[名称],$E$63:$E$70,0))*(武器MOD表[类型]=$A$60)),,MATCH(A76,武器MOD表[#Headers],0)),0))</f>
        <v>2.75</v>
      </c>
      <c r="D76" s="76">
        <f t="shared" ref="D76:D78" si="6">(E$81-T76)/T76</f>
        <v>-0.00337077220699885</v>
      </c>
      <c r="E76" s="69"/>
      <c r="F76" s="102" t="str">
        <f ca="1">IFERROR(OFFSET($E$19,MATCH($E76,BUFF,0)-1,COLUMNS($F76:F76)+1),"")</f>
        <v/>
      </c>
      <c r="G76" s="103" t="str">
        <f ca="1">IFERROR(OFFSET($E$19,MATCH($E76,BUFF,0)-1,COLUMNS($F76:G76)+1),"")</f>
        <v/>
      </c>
      <c r="H76" s="102" t="str">
        <f ca="1">IFERROR(OFFSET($E$19,MATCH($E76,BUFF,0)-1,COLUMNS($F76:H76)+1),"")</f>
        <v/>
      </c>
      <c r="I76" s="103" t="str">
        <f ca="1">IFERROR(OFFSET($E$19,MATCH($E76,BUFF,0)-1,COLUMNS($F76:I76)+1),"")</f>
        <v/>
      </c>
      <c r="J76" s="102" t="str">
        <f ca="1">IFERROR(OFFSET($E$19,MATCH($E76,BUFF,0)-1,COLUMNS($F76:J76)+1),"")</f>
        <v/>
      </c>
      <c r="K76" s="103" t="str">
        <f ca="1">IFERROR(OFFSET($E$19,MATCH($E76,BUFF,0)-1,COLUMNS($F76:K76)+1),"")</f>
        <v/>
      </c>
      <c r="L76" s="102" t="str">
        <f ca="1">IFERROR(OFFSET($E$19,MATCH($E76,BUFF,0)-1,COLUMNS($F76:L76)+1),"")</f>
        <v/>
      </c>
      <c r="M76" s="103" t="str">
        <f ca="1">IFERROR(OFFSET($E$19,MATCH($E76,BUFF,0)-1,COLUMNS($F76:M76)+1),"")</f>
        <v/>
      </c>
      <c r="N76" s="105" t="str">
        <f>IFERROR(VLOOKUP(E76,BUFF表[],MATCH("描述",BUFF表[#Headers],0),0),"")</f>
        <v/>
      </c>
      <c r="O76" s="105"/>
      <c r="P76" s="105"/>
      <c r="Q76" s="105"/>
      <c r="R76" s="105"/>
      <c r="S76" s="105"/>
      <c r="T76" s="20" cm="1">
        <f t="array" ref="T76">近战倍率*触发乘区(近战伤害类型,V76,U76+V76,Y76)*(V76+U76*(1-敌方抗性+AF76))*昂扬背水乘区(AD76,AE76)*防御乘区(AG76)*Z76*PRODUCT(AA76:AC76+1)*(1+W76*(X76-1))</f>
        <v>2318288.0885467</v>
      </c>
      <c r="U76" s="20" cm="1">
        <f t="array" ref="U76">删BUFF取角色属性(V$74,MATCH($E76,BUFF,0))*(1+删BUFF取角色属性("属性伤",MATCH($E76,BUFF,0)))</f>
        <v>6096.68763763837</v>
      </c>
      <c r="V76" s="20" cm="1">
        <f t="array" ref="V76">删BUFF取近战属性(V$74,MATCH($E76,BUFF,0))*(1+删BUFF取近战属性("物理",MATCH($E76,BUFF,0)))</f>
        <v>659.4462</v>
      </c>
      <c r="W76" s="23" cm="1">
        <f t="array" ref="W76">删BUFF取近战属性(W$74,MATCH($E76,BUFF,0))</f>
        <v>0.4945</v>
      </c>
      <c r="X76" s="23" cm="1">
        <f t="array" ref="X76">删BUFF取近战属性(X$74,MATCH($E76,BUFF,0))</f>
        <v>3.75</v>
      </c>
      <c r="Y76" s="23" cm="1">
        <f t="array" ref="Y76">删BUFF取近战属性(Y$74,MATCH($E76,BUFF,0))</f>
        <v>0.1</v>
      </c>
      <c r="Z76" s="20" cm="1">
        <f t="array" ref="Z76">删BUFF取近战属性(Z$74,MATCH($E76,BUFF,0))</f>
        <v>1.75</v>
      </c>
      <c r="AA76" s="23" cm="1">
        <f t="array" ref="AA76">删BUFF取近战属性(AA$74,MATCH($E76,BUFF,0))</f>
        <v>2.75</v>
      </c>
      <c r="AB76" s="23" cm="1">
        <f t="array" ref="AB76">删BUFF取近战属性(AB$74,MATCH($E76,BUFF,0))</f>
        <v>0</v>
      </c>
      <c r="AC76" s="23" cm="1">
        <f t="array" ref="AC76">删BUFF取近战属性(AC$74,MATCH($E76,BUFF,0))</f>
        <v>0.6</v>
      </c>
      <c r="AD76" s="23" cm="1">
        <f t="array" ref="AD76">删BUFF取近战属性(AD$74,MATCH($E76,BUFF,0))</f>
        <v>0</v>
      </c>
      <c r="AE76" s="23" cm="1">
        <f t="array" ref="AE76">删BUFF取近战属性(AE$74,MATCH($E76,BUFF,0))</f>
        <v>0.83008</v>
      </c>
      <c r="AF76" s="23" cm="1">
        <f t="array" ref="AF76">删BUFF取近战属性(AF$74,MATCH($E76,BUFF,0))</f>
        <v>0.24</v>
      </c>
      <c r="AG76" s="23" cm="1">
        <f t="array" ref="AG76">删BUFF取近战属性(AG$74,MATCH($E76,BUFF,0))</f>
        <v>0</v>
      </c>
      <c r="AV76" t="str">
        <v>坚守</v>
      </c>
    </row>
    <row r="77" customFormat="1" spans="1:48">
      <c r="A77" s="68" t="s">
        <v>70</v>
      </c>
      <c r="B77" s="78">
        <f>$C$19</f>
        <v>0</v>
      </c>
      <c r="C77" s="78" cm="1">
        <f t="array" ref="C77">PRODUCT(B77+1,IFERROR(_xlfn.MAP(($J$63:$J$70+1)/IF($G$63:$G$70="金",11,IF($G$63:$G$70="绿",4,6)),_xlfn.LAMBDA(_xlpm.a,IF(_xlpm.a&gt;1,1,_xlpm.a)))*INDEX(_xlfn._xlws.FILTER(武器MOD表[],ISNUMBER(MATCH(武器MOD表[名称],$E$63:$E$70,0))*(武器MOD表[类型]=$A$60)),,MATCH(A76,武器MOD表[#Headers],0)),0)+1)-1</f>
        <v>0</v>
      </c>
      <c r="D77" s="76">
        <f t="shared" si="6"/>
        <v>-0.00337077220699885</v>
      </c>
      <c r="E77" s="69"/>
      <c r="F77" s="102" t="str">
        <f ca="1">IFERROR(OFFSET($E$19,MATCH($E77,BUFF,0)-1,COLUMNS($F77:F77)+1),"")</f>
        <v/>
      </c>
      <c r="G77" s="103" t="str">
        <f ca="1">IFERROR(OFFSET($E$19,MATCH($E77,BUFF,0)-1,COLUMNS($F77:G77)+1),"")</f>
        <v/>
      </c>
      <c r="H77" s="102" t="str">
        <f ca="1">IFERROR(OFFSET($E$19,MATCH($E77,BUFF,0)-1,COLUMNS($F77:H77)+1),"")</f>
        <v/>
      </c>
      <c r="I77" s="103" t="str">
        <f ca="1">IFERROR(OFFSET($E$19,MATCH($E77,BUFF,0)-1,COLUMNS($F77:I77)+1),"")</f>
        <v/>
      </c>
      <c r="J77" s="102" t="str">
        <f ca="1">IFERROR(OFFSET($E$19,MATCH($E77,BUFF,0)-1,COLUMNS($F77:J77)+1),"")</f>
        <v/>
      </c>
      <c r="K77" s="103" t="str">
        <f ca="1">IFERROR(OFFSET($E$19,MATCH($E77,BUFF,0)-1,COLUMNS($F77:K77)+1),"")</f>
        <v/>
      </c>
      <c r="L77" s="102" t="str">
        <f ca="1">IFERROR(OFFSET($E$19,MATCH($E77,BUFF,0)-1,COLUMNS($F77:L77)+1),"")</f>
        <v/>
      </c>
      <c r="M77" s="103" t="str">
        <f ca="1">IFERROR(OFFSET($E$19,MATCH($E77,BUFF,0)-1,COLUMNS($F77:M77)+1),"")</f>
        <v/>
      </c>
      <c r="N77" s="105" t="str">
        <f>IFERROR(VLOOKUP(E77,BUFF表[],MATCH("描述",BUFF表[#Headers],0),0),"")</f>
        <v/>
      </c>
      <c r="O77" s="105"/>
      <c r="P77" s="105"/>
      <c r="Q77" s="105"/>
      <c r="R77" s="105"/>
      <c r="S77" s="105"/>
      <c r="T77" s="20" cm="1">
        <f t="array" ref="T77">近战倍率*触发乘区(近战伤害类型,V77,U77+V77,Y77)*(V77+U77*(1-敌方抗性+AF77))*昂扬背水乘区(AD77,AE77)*防御乘区(AG77)*Z77*PRODUCT(AA77:AC77+1)*(1+W77*(X77-1))</f>
        <v>2318288.0885467</v>
      </c>
      <c r="U77" s="20" cm="1">
        <f t="array" ref="U77">删BUFF取角色属性(V$74,MATCH($E77,BUFF,0))*(1+删BUFF取角色属性("属性伤",MATCH($E77,BUFF,0)))</f>
        <v>6096.68763763837</v>
      </c>
      <c r="V77" s="20" cm="1">
        <f t="array" ref="V77">删BUFF取近战属性(V$74,MATCH($E77,BUFF,0))*(1+删BUFF取近战属性("物理",MATCH($E77,BUFF,0)))</f>
        <v>659.4462</v>
      </c>
      <c r="W77" s="23" cm="1">
        <f t="array" ref="W77">删BUFF取近战属性(W$74,MATCH($E77,BUFF,0))</f>
        <v>0.4945</v>
      </c>
      <c r="X77" s="23" cm="1">
        <f t="array" ref="X77">删BUFF取近战属性(X$74,MATCH($E77,BUFF,0))</f>
        <v>3.75</v>
      </c>
      <c r="Y77" s="23" cm="1">
        <f t="array" ref="Y77">删BUFF取近战属性(Y$74,MATCH($E77,BUFF,0))</f>
        <v>0.1</v>
      </c>
      <c r="Z77" s="20" cm="1">
        <f t="array" ref="Z77">删BUFF取近战属性(Z$74,MATCH($E77,BUFF,0))</f>
        <v>1.75</v>
      </c>
      <c r="AA77" s="23" cm="1">
        <f t="array" ref="AA77">删BUFF取近战属性(AA$74,MATCH($E77,BUFF,0))</f>
        <v>2.75</v>
      </c>
      <c r="AB77" s="23" cm="1">
        <f t="array" ref="AB77">删BUFF取近战属性(AB$74,MATCH($E77,BUFF,0))</f>
        <v>0</v>
      </c>
      <c r="AC77" s="23" cm="1">
        <f t="array" ref="AC77">删BUFF取近战属性(AC$74,MATCH($E77,BUFF,0))</f>
        <v>0.6</v>
      </c>
      <c r="AD77" s="23" cm="1">
        <f t="array" ref="AD77">删BUFF取近战属性(AD$74,MATCH($E77,BUFF,0))</f>
        <v>0</v>
      </c>
      <c r="AE77" s="23" cm="1">
        <f t="array" ref="AE77">删BUFF取近战属性(AE$74,MATCH($E77,BUFF,0))</f>
        <v>0.83008</v>
      </c>
      <c r="AF77" s="23" cm="1">
        <f t="array" ref="AF77">删BUFF取近战属性(AF$74,MATCH($E77,BUFF,0))</f>
        <v>0.24</v>
      </c>
      <c r="AG77" s="23" cm="1">
        <f t="array" ref="AG77">删BUFF取近战属性(AG$74,MATCH($E77,BUFF,0))</f>
        <v>0</v>
      </c>
      <c r="AV77" t="str">
        <v>羽翼·鼓舞</v>
      </c>
    </row>
    <row r="78" customFormat="1" spans="1:48">
      <c r="A78" s="68" t="s">
        <v>151</v>
      </c>
      <c r="B78" s="78">
        <v>0</v>
      </c>
      <c r="C78" s="78" cm="1">
        <f t="array" ref="C78">SUM(B78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BUFF层数乘数*VLOOKUP(BUFF,BUFF表[],MATCH("MOD属性",BUFF表[#Headers],0),0),0)),1)))*VLOOKUP(角色MOD,角色MOD表[],MATCH(AD$106,角色MOD表[#Headers],0),0),0)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D$106,武器MOD表[#Headers],0)))),0),IFERROR(BUFF层数乘数*VLOOKUP(BUFF,BUFF表[],MATCH(A78,BUFF表[#Headers],0),0),0))</f>
        <v>0.6</v>
      </c>
      <c r="D78" s="76">
        <f t="shared" si="6"/>
        <v>-0.00337077220699885</v>
      </c>
      <c r="E78" s="69"/>
      <c r="F78" s="102" t="str">
        <f ca="1">IFERROR(OFFSET($E$19,MATCH($E78,BUFF,0)-1,COLUMNS($F78:F78)+1),"")</f>
        <v/>
      </c>
      <c r="G78" s="103" t="str">
        <f ca="1">IFERROR(OFFSET($E$19,MATCH($E78,BUFF,0)-1,COLUMNS($F78:G78)+1),"")</f>
        <v/>
      </c>
      <c r="H78" s="102" t="str">
        <f ca="1">IFERROR(OFFSET($E$19,MATCH($E78,BUFF,0)-1,COLUMNS($F78:H78)+1),"")</f>
        <v/>
      </c>
      <c r="I78" s="103" t="str">
        <f ca="1">IFERROR(OFFSET($E$19,MATCH($E78,BUFF,0)-1,COLUMNS($F78:I78)+1),"")</f>
        <v/>
      </c>
      <c r="J78" s="102" t="str">
        <f ca="1">IFERROR(OFFSET($E$19,MATCH($E78,BUFF,0)-1,COLUMNS($F78:J78)+1),"")</f>
        <v/>
      </c>
      <c r="K78" s="103" t="str">
        <f ca="1">IFERROR(OFFSET($E$19,MATCH($E78,BUFF,0)-1,COLUMNS($F78:K78)+1),"")</f>
        <v/>
      </c>
      <c r="L78" s="102" t="str">
        <f ca="1">IFERROR(OFFSET($E$19,MATCH($E78,BUFF,0)-1,COLUMNS($F78:L78)+1),"")</f>
        <v/>
      </c>
      <c r="M78" s="103" t="str">
        <f ca="1">IFERROR(OFFSET($E$19,MATCH($E78,BUFF,0)-1,COLUMNS($F78:M78)+1),"")</f>
        <v/>
      </c>
      <c r="N78" s="105" t="str">
        <f>IFERROR(VLOOKUP(E78,BUFF表[],MATCH("描述",BUFF表[#Headers],0),0),"")</f>
        <v/>
      </c>
      <c r="O78" s="105"/>
      <c r="P78" s="105"/>
      <c r="Q78" s="105"/>
      <c r="R78" s="105"/>
      <c r="S78" s="105"/>
      <c r="T78" s="20" cm="1">
        <f t="array" ref="T78">近战倍率*触发乘区(近战伤害类型,V78,U78+V78,Y78)*(V78+U78*(1-敌方抗性+AF78))*昂扬背水乘区(AD78,AE78)*防御乘区(AG78)*Z78*PRODUCT(AA78:AC78+1)*(1+W78*(X78-1))</f>
        <v>2318288.0885467</v>
      </c>
      <c r="U78" s="20" cm="1">
        <f t="array" ref="U78">删BUFF取角色属性(V$74,MATCH($E78,BUFF,0))*(1+删BUFF取角色属性("属性伤",MATCH($E78,BUFF,0)))</f>
        <v>6096.68763763837</v>
      </c>
      <c r="V78" s="20" cm="1">
        <f t="array" ref="V78">删BUFF取近战属性(V$74,MATCH($E78,BUFF,0))*(1+删BUFF取近战属性("物理",MATCH($E78,BUFF,0)))</f>
        <v>659.4462</v>
      </c>
      <c r="W78" s="23" cm="1">
        <f t="array" ref="W78">删BUFF取近战属性(W$74,MATCH($E78,BUFF,0))</f>
        <v>0.4945</v>
      </c>
      <c r="X78" s="23" cm="1">
        <f t="array" ref="X78">删BUFF取近战属性(X$74,MATCH($E78,BUFF,0))</f>
        <v>3.75</v>
      </c>
      <c r="Y78" s="23" cm="1">
        <f t="array" ref="Y78">删BUFF取近战属性(Y$74,MATCH($E78,BUFF,0))</f>
        <v>0.1</v>
      </c>
      <c r="Z78" s="20" cm="1">
        <f t="array" ref="Z78">删BUFF取近战属性(Z$74,MATCH($E78,BUFF,0))</f>
        <v>1.75</v>
      </c>
      <c r="AA78" s="23" cm="1">
        <f t="array" ref="AA78">删BUFF取近战属性(AA$74,MATCH($E78,BUFF,0))</f>
        <v>2.75</v>
      </c>
      <c r="AB78" s="23" cm="1">
        <f t="array" ref="AB78">删BUFF取近战属性(AB$74,MATCH($E78,BUFF,0))</f>
        <v>0</v>
      </c>
      <c r="AC78" s="23" cm="1">
        <f t="array" ref="AC78">删BUFF取近战属性(AC$74,MATCH($E78,BUFF,0))</f>
        <v>0.6</v>
      </c>
      <c r="AD78" s="23" cm="1">
        <f t="array" ref="AD78">删BUFF取近战属性(AD$74,MATCH($E78,BUFF,0))</f>
        <v>0</v>
      </c>
      <c r="AE78" s="23" cm="1">
        <f t="array" ref="AE78">删BUFF取近战属性(AE$74,MATCH($E78,BUFF,0))</f>
        <v>0.83008</v>
      </c>
      <c r="AF78" s="23" cm="1">
        <f t="array" ref="AF78">删BUFF取近战属性(AF$74,MATCH($E78,BUFF,0))</f>
        <v>0.24</v>
      </c>
      <c r="AG78" s="23" cm="1">
        <f t="array" ref="AG78">删BUFF取近战属性(AG$74,MATCH($E78,BUFF,0))</f>
        <v>0</v>
      </c>
      <c r="AV78" t="str">
        <v>全盛</v>
      </c>
    </row>
    <row r="79" customFormat="1" spans="4:48">
      <c r="D79" s="79" cm="1">
        <f t="array" ref="D79">PRODUCT(D75:D78+1)-1</f>
        <v>0.234800908735981</v>
      </c>
      <c r="AV79" t="str">
        <v>全盛</v>
      </c>
    </row>
    <row r="80" customFormat="1" spans="4:48">
      <c r="D80" s="124" t="s">
        <v>121</v>
      </c>
      <c r="E80" s="131"/>
      <c r="F80" s="131"/>
      <c r="G80" s="68" t="s">
        <v>166</v>
      </c>
      <c r="AV80" t="str">
        <v>炽灼·羽翼</v>
      </c>
    </row>
    <row r="81" customFormat="1" spans="4:48">
      <c r="D81" s="142" t="s">
        <v>167</v>
      </c>
      <c r="E81" s="119" cm="1">
        <f t="array" ref="E81">触发乘区(近战伤害类型,近战攻击,(近战攻击+角色攻击*(1-敌方抗性+属性穿透)),近战触发)*F86</f>
        <v>2310473.66749001</v>
      </c>
      <c r="F81" s="119"/>
      <c r="G81" s="151">
        <f>ROUNDDOWN(E81/近战攻速/(1+C$78),0)</f>
        <v>825169</v>
      </c>
      <c r="AV81" t="str">
        <v>涅槃·庇佑</v>
      </c>
    </row>
    <row r="82" customFormat="1" spans="4:48">
      <c r="D82" s="142"/>
      <c r="E82" s="119"/>
      <c r="F82" s="119"/>
      <c r="G82" s="152"/>
      <c r="AV82" t="str">
        <v>全盛·昂扬</v>
      </c>
    </row>
    <row r="83" customHeight="1" spans="4:48">
      <c r="D83" s="142"/>
      <c r="E83" s="119"/>
      <c r="F83" s="119"/>
      <c r="G83" s="153"/>
      <c r="H83"/>
      <c r="I83"/>
      <c r="J83"/>
      <c r="K83"/>
      <c r="L83"/>
      <c r="AV83" t="str">
        <v>全盛·背水</v>
      </c>
    </row>
    <row r="84" customFormat="1" customHeight="1" spans="4:48">
      <c r="D84" s="143" t="s">
        <v>168</v>
      </c>
      <c r="E84" s="154" t="str">
        <f>IF(B67=0,"未暴击",B67&amp;"级暴击")</f>
        <v>未暴击</v>
      </c>
      <c r="F84" s="155" cm="1">
        <f t="array" ref="F84">近战倍率*(近战攻击+角色攻击*(1-敌方抗性+属性穿透))*昂扬背水乘区(昂扬,背水)*防御乘区(无视防御)*近战攻速*PRODUCT($C$76:$C$78+1)*近战连击倍率*C67</f>
        <v>979066.123201445</v>
      </c>
      <c r="G84" s="156" t="str">
        <f>ROUNDDOWN(F84/近战攻速/(1+C$78),0)&amp;REPT("!",$B$67)</f>
        <v>349666</v>
      </c>
      <c r="AV84" t="str">
        <v>全盛·追袭</v>
      </c>
    </row>
    <row r="85" customFormat="1" customHeight="1" spans="4:48">
      <c r="D85" s="144"/>
      <c r="E85" s="154" t="str">
        <f>IF(B68=0,"未暴击",B68&amp;"级暴击")</f>
        <v>1级暴击</v>
      </c>
      <c r="F85" s="155">
        <f>F84/C67*C68</f>
        <v>3671497.96200542</v>
      </c>
      <c r="G85" s="157" t="str">
        <f>ROUNDDOWN(F85/近战攻速/(1+C$78),0)&amp;REPT("!",$B$68)</f>
        <v>1311249!</v>
      </c>
      <c r="AV85" t="str">
        <v>全盛·安神</v>
      </c>
    </row>
    <row r="86" customFormat="1" customHeight="1" spans="4:48">
      <c r="D86" s="145"/>
      <c r="E86" s="154" t="s">
        <v>169</v>
      </c>
      <c r="F86" s="155">
        <f>F84/C67*(1+C65*(C66-1))</f>
        <v>2310473.66749001</v>
      </c>
      <c r="G86" s="156">
        <f>ROUNDDOWN(F86/近战攻速/(1+C$78),0)</f>
        <v>825169</v>
      </c>
      <c r="AV86" t="str">
        <v>全盛·振奋</v>
      </c>
    </row>
    <row r="87" customFormat="1" customHeight="1" spans="4:48">
      <c r="D87" s="143" t="s">
        <v>149</v>
      </c>
      <c r="E87" s="154" t="str">
        <f>IF(B67=0,"未暴击",B67&amp;"级暴击")</f>
        <v>未暴击</v>
      </c>
      <c r="F87" s="155" cm="1">
        <f t="array" ref="F87">触发乘区(近战伤害类型,近战攻击,(近战攻击+角色攻击*(1-敌方抗性+属性穿透)),1)*F84</f>
        <v>979066.123201445</v>
      </c>
      <c r="G87" s="156" t="str">
        <f>ROUNDDOWN(F87/近战攻速/(1+C$78),0)&amp;REPT("!",$B$67)</f>
        <v>349666</v>
      </c>
      <c r="AV87" t="str">
        <v>权能·预兆</v>
      </c>
    </row>
    <row r="88" customFormat="1" customHeight="1" spans="4:48">
      <c r="D88" s="144"/>
      <c r="E88" s="154" t="str">
        <f>IF(B68=0,"未暴击",B68&amp;"级暴击")</f>
        <v>1级暴击</v>
      </c>
      <c r="F88" s="155" cm="1">
        <f t="array" ref="F88">触发乘区(近战伤害类型,近战攻击,(近战攻击+角色攻击*(1-敌方抗性+属性穿透)),1)*F85</f>
        <v>3671497.96200542</v>
      </c>
      <c r="G88" s="156" t="str">
        <f>ROUNDDOWN(F88/近战攻速/(1+C$78),0)&amp;REPT("!",$B$68)</f>
        <v>1311249!</v>
      </c>
      <c r="AV88" t="str">
        <v>永恒·克己</v>
      </c>
    </row>
    <row r="89" customFormat="1" customHeight="1" spans="4:48">
      <c r="D89" s="145"/>
      <c r="E89" s="154" t="s">
        <v>169</v>
      </c>
      <c r="F89" s="155" cm="1">
        <f t="array" ref="F89">触发乘区(近战伤害类型,近战攻击,(近战攻击+角色攻击*(1-敌方抗性+属性穿透)),1)*F86</f>
        <v>2310473.66749001</v>
      </c>
      <c r="G89" s="156">
        <f>ROUNDDOWN(F89/近战攻速/(1+C$78),0)</f>
        <v>825169</v>
      </c>
      <c r="AV89" t="str">
        <v>决断·冥想(没出)</v>
      </c>
    </row>
    <row r="90" customFormat="1" customHeight="1" spans="48:48">
      <c r="AV90" t="str">
        <v>决断·刹那(没出)</v>
      </c>
    </row>
    <row r="91" customFormat="1" spans="20:48">
      <c r="T91" s="20" t="s">
        <v>57</v>
      </c>
      <c r="U91" s="20" t="s">
        <v>58</v>
      </c>
      <c r="V91" s="20" t="s">
        <v>59</v>
      </c>
      <c r="W91" s="20" t="s">
        <v>60</v>
      </c>
      <c r="X91" s="20" t="s">
        <v>61</v>
      </c>
      <c r="Y91" s="20" t="s">
        <v>62</v>
      </c>
      <c r="Z91" s="20" t="s">
        <v>63</v>
      </c>
      <c r="AA91" s="20" t="s">
        <v>64</v>
      </c>
      <c r="AB91" s="20" t="s">
        <v>65</v>
      </c>
      <c r="AC91" s="20" t="s">
        <v>66</v>
      </c>
      <c r="AD91" s="20" t="s">
        <v>67</v>
      </c>
      <c r="AE91" s="20" t="s">
        <v>68</v>
      </c>
      <c r="AF91" s="18" t="s">
        <v>69</v>
      </c>
      <c r="AG91" s="18" t="s">
        <v>70</v>
      </c>
      <c r="AH91" s="18" t="s">
        <v>71</v>
      </c>
      <c r="AV91" t="str">
        <v>炽灼</v>
      </c>
    </row>
    <row r="92" ht="18" spans="1:48">
      <c r="A92" s="125" t="s">
        <v>170</v>
      </c>
      <c r="B92" s="126" t="s">
        <v>171</v>
      </c>
      <c r="C92" s="125" t="s">
        <v>142</v>
      </c>
      <c r="D92" s="126">
        <v>5</v>
      </c>
      <c r="E92" s="125" t="s">
        <v>45</v>
      </c>
      <c r="F92" s="133">
        <f>(B$39-T92)/T92</f>
        <v>0.495926169519376</v>
      </c>
      <c r="G92" s="134" t="s">
        <v>143</v>
      </c>
      <c r="H92" s="125" t="str" cm="1">
        <f t="array" ref="H92">IFERROR(INDEX(远程武器表[#Headers],SMALL(_xlfn._xlws.FILTER(COLUMN(_xlfn.DROP(INDEX(远程武器表[],MATCH(远程武器,远程武器表[名称],0),),,8))*(_xlfn.DROP(INDEX(远程武器表[],MATCH(远程武器,远程武器表[名称],0),),,8)&lt;&gt;""),COLUMN(_xlfn.DROP(INDEX(远程武器表[],MATCH(远程武器,远程武器表[名称],0),),,8))*(_xlfn.DROP(INDEX(远程武器表[],MATCH(远程武器,远程武器表[名称],0),),,8)&lt;&gt;"")&lt;&gt;0),1)),"")</f>
        <v>攻击</v>
      </c>
      <c r="I92" s="135" cm="1">
        <f t="array" ref="I92">IFERROR((5+$D$92)/10*INDEX(INDEX(远程武器表[],MATCH(远程武器,远程武器表[名称],0),),SMALL(_xlfn._xlws.FILTER(COLUMN(_xlfn.DROP(INDEX(远程武器表[],MATCH(远程武器,远程武器表[名称],0),),,8))*(_xlfn.DROP(INDEX(远程武器表[],MATCH(远程武器,远程武器表[名称],0),),,8)&lt;&gt;""),COLUMN(_xlfn.DROP(INDEX(远程武器表[],MATCH(远程武器,远程武器表[名称],0),),,8))*(_xlfn.DROP(INDEX(远程武器表[],MATCH(远程武器,远程武器表[名称],0),),,8)&lt;&gt;"")&lt;&gt;0),1)),IFERROR((5+$D$92)/10*INDEX(INDEX(远程武器表[],MATCH(远程武器,远程武器表[名称],0),),SMALL(_xlfn._xlws.FILTER(COLUMN(_xlfn.DROP(INDEX(远程武器表[],MATCH(远程武器,远程武器表[名称],0),),,8))*(_xlfn.DROP(INDEX(远程武器表[],MATCH(远程武器,远程武器表[名称],0),),,8)&lt;&gt;""),COLUMN(_xlfn.DROP(INDEX(远程武器表[],MATCH(远程武器,远程武器表[名称],0),),,8))*(_xlfn.DROP(INDEX(远程武器表[],MATCH(远程武器,远程武器表[名称],0),),,8)&lt;&gt;"")&lt;&gt;0),1)),""))</f>
        <v>1.2</v>
      </c>
      <c r="J92" s="125" t="str" cm="1">
        <f t="array" ref="J92">IFERROR(INDEX(远程武器表[#Headers],SMALL(_xlfn._xlws.FILTER(COLUMN(_xlfn.DROP(INDEX(远程武器表[],MATCH(远程武器,远程武器表[名称],0),),,8))*(_xlfn.DROP(INDEX(远程武器表[],MATCH(远程武器,远程武器表[名称],0),),,8)&lt;&gt;""),COLUMN(_xlfn.DROP(INDEX(远程武器表[],MATCH(远程武器,远程武器表[名称],0),),,8))*(_xlfn.DROP(INDEX(远程武器表[],MATCH(远程武器,远程武器表[名称],0),),,8)&lt;&gt;"")&lt;&gt;0),2)),"")</f>
        <v/>
      </c>
      <c r="K92" s="135" t="str" cm="1">
        <f t="array" ref="K92">IFERROR((5+$D$92)/10*INDEX(INDEX(远程武器表[],MATCH(远程武器,远程武器表[名称],0),),SMALL(_xlfn._xlws.FILTER(COLUMN(_xlfn.DROP(INDEX(远程武器表[],MATCH(远程武器,远程武器表[名称],0),),,8))*(_xlfn.DROP(INDEX(远程武器表[],MATCH(远程武器,远程武器表[名称],0),),,8)&lt;&gt;""),COLUMN(_xlfn.DROP(INDEX(远程武器表[],MATCH(远程武器,远程武器表[名称],0),),,8))*(_xlfn.DROP(INDEX(远程武器表[],MATCH(远程武器,远程武器表[名称],0),),,8)&lt;&gt;"")&lt;&gt;0),2)),IFERROR((5+$D$92)/10*INDEX(INDEX(远程武器表[],MATCH(远程武器,远程武器表[名称],0),),SMALL(_xlfn._xlws.FILTER(COLUMN(_xlfn.DROP(INDEX(远程武器表[],MATCH(远程武器,远程武器表[名称],0),),,8))*(_xlfn.DROP(INDEX(远程武器表[],MATCH(远程武器,远程武器表[名称],0),),,8)&lt;&gt;""),COLUMN(_xlfn.DROP(INDEX(远程武器表[],MATCH(远程武器,远程武器表[名称],0),),,8))*(_xlfn.DROP(INDEX(远程武器表[],MATCH(远程武器,远程武器表[名称],0),),,8)&lt;&gt;"")&lt;&gt;0),2)),""))</f>
        <v/>
      </c>
      <c r="T92" s="20" cm="1">
        <f t="array" ref="T92">X92*SUM(B$24*U92,B$26*V92,B$25*W92,B$27)*昂扬背水乘区(AB92,AC92)*SUM(1,AD92,AE92)*(1-敌方抗性+AF92)*(1+AG92)/IF($A$39="DPMP",ROUNDUP($B$30*(2-Z92),0),1)/IF($A$39="DPSMP",ROUNDUP($B$31*MAX(0.25,(2-Z92)/Y92),0),1)*防御乘区(AH92)</f>
        <v>590640.649017831</v>
      </c>
      <c r="U92" s="20" cm="1">
        <f t="array" ref="U92">(取角色总属性(U$91)-基础(U$91)*取远程属性(U$91))*(1+取角色总属性("属性伤"))</f>
        <v>5513.00817475837</v>
      </c>
      <c r="V92" s="20" cm="1">
        <f t="array" ref="V92">取角色总属性(V$91)-基础(V$91)*取远程属性(V$91)</f>
        <v>3388.65048</v>
      </c>
      <c r="W92" s="20" cm="1">
        <f t="array" ref="W92">取角色总属性(W$91)-基础(W$91)*取远程属性(W$91)</f>
        <v>971.49024</v>
      </c>
      <c r="X92" s="23" cm="1">
        <f t="array" ref="X92">取角色总属性(X$91)-基础(X$91)*取远程属性(X$91)</f>
        <v>5.92554</v>
      </c>
      <c r="Y92" s="23" cm="1">
        <f t="array" ref="Y92">取角色总属性(Y$91)-基础(Y$91)*取远程属性(Y$91)</f>
        <v>1.2</v>
      </c>
      <c r="Z92" s="23" cm="1">
        <f t="array" ref="Z92">取角色总属性(Z$91)-基础(Z$91)*取远程属性(Z$91)</f>
        <v>0</v>
      </c>
      <c r="AA92" s="23" cm="1">
        <f t="array" ref="AA92">取角色总属性(AA$91)-基础(AA$91)*取远程属性(AA$91)</f>
        <v>1.33594</v>
      </c>
      <c r="AB92" s="23" cm="1">
        <f t="array" ref="AB92">取角色总属性(AB$91)-基础(AB$91)*取远程属性(AB$91)</f>
        <v>0</v>
      </c>
      <c r="AC92" s="23" cm="1">
        <f t="array" ref="AC92">取角色总属性(AC$91)-基础(AC$91)*取远程属性(AC$91)</f>
        <v>0.83008</v>
      </c>
      <c r="AD92" s="23" cm="1">
        <f t="array" ref="AD92">取角色总属性(AD$91)-基础(AD$91)*取远程属性(AD$91)</f>
        <v>2.25</v>
      </c>
      <c r="AE92" s="23" cm="1">
        <f t="array" ref="AE92">取角色总属性(AE$91)-基础(AE$91)*取远程属性(AE$91)</f>
        <v>0</v>
      </c>
      <c r="AF92" s="23" cm="1">
        <f t="array" ref="AF92">取角色总属性(AF$91)-基础(AF$91)*取远程属性(AF$91)</f>
        <v>0.24</v>
      </c>
      <c r="AG92" s="23" cm="1">
        <f t="array" ref="AG92">取角色总属性(AG$91)-基础(AG$91)*取远程属性(AG$91)</f>
        <v>0</v>
      </c>
      <c r="AH92" s="23" cm="1">
        <f t="array" ref="AH92">取角色总属性(AH$91)-基础(AH$91)*取远程属性(AH$91)</f>
        <v>0</v>
      </c>
      <c r="AV92" t="str">
        <v>羽翼</v>
      </c>
    </row>
    <row r="93" spans="1:48">
      <c r="A93" s="127" t="s">
        <v>144</v>
      </c>
      <c r="B93" s="128"/>
      <c r="C93" s="129"/>
      <c r="D93" s="130" t="s">
        <v>145</v>
      </c>
      <c r="E93" s="130"/>
      <c r="F93" s="130"/>
      <c r="G93" s="130"/>
      <c r="H93" s="130"/>
      <c r="I93" s="130"/>
      <c r="J93" s="130"/>
      <c r="K93" s="130"/>
      <c r="L93" s="130"/>
      <c r="M93" s="130"/>
      <c r="N93" s="130"/>
      <c r="O93" s="130"/>
      <c r="P93" s="130"/>
      <c r="Q93" s="130"/>
      <c r="R93" s="130"/>
      <c r="S93" s="130"/>
      <c r="AV93" t="str">
        <v>涅槃</v>
      </c>
    </row>
    <row r="94" spans="1:48">
      <c r="A94" s="68" t="s">
        <v>146</v>
      </c>
      <c r="B94" s="93" t="str">
        <f>IFERROR(VLOOKUP(远程武器,远程武器表[],MATCH(A94,远程武器表[#Headers],0),0),"")</f>
        <v>手枪</v>
      </c>
      <c r="C94" s="23">
        <f>IF(C22=B94,0.2,0)</f>
        <v>0</v>
      </c>
      <c r="D94" s="146" t="s">
        <v>45</v>
      </c>
      <c r="E94" s="20" t="s">
        <v>46</v>
      </c>
      <c r="F94" s="20" t="s">
        <v>47</v>
      </c>
      <c r="G94" s="21" t="s">
        <v>48</v>
      </c>
      <c r="H94" s="20" t="s">
        <v>49</v>
      </c>
      <c r="I94" s="20" t="s">
        <v>50</v>
      </c>
      <c r="J94" s="18" t="s">
        <v>51</v>
      </c>
      <c r="K94" s="18" t="s">
        <v>52</v>
      </c>
      <c r="L94" s="105" t="s">
        <v>53</v>
      </c>
      <c r="M94" s="105"/>
      <c r="N94" s="105" t="s">
        <v>54</v>
      </c>
      <c r="O94" s="105"/>
      <c r="P94" s="105" t="s">
        <v>55</v>
      </c>
      <c r="Q94" s="105"/>
      <c r="R94" s="105" t="s">
        <v>56</v>
      </c>
      <c r="S94" s="105"/>
      <c r="T94" s="20" t="s">
        <v>57</v>
      </c>
      <c r="U94" s="20" t="s">
        <v>58</v>
      </c>
      <c r="V94" s="20" t="s">
        <v>147</v>
      </c>
      <c r="W94" s="20" t="s">
        <v>148</v>
      </c>
      <c r="X94" s="20" t="s">
        <v>149</v>
      </c>
      <c r="Y94" s="20" t="s">
        <v>150</v>
      </c>
      <c r="Z94" s="20" t="s">
        <v>172</v>
      </c>
      <c r="AA94" s="18" t="s">
        <v>67</v>
      </c>
      <c r="AB94" s="18" t="s">
        <v>70</v>
      </c>
      <c r="AC94" s="18" t="s">
        <v>151</v>
      </c>
      <c r="AV94" t="str">
        <v>庇佑</v>
      </c>
    </row>
    <row r="95" spans="1:48">
      <c r="A95" s="68" t="s">
        <v>152</v>
      </c>
      <c r="B95" s="93" t="str">
        <f>IFERROR(VLOOKUP(远程武器,远程武器表[],MATCH(A95,远程武器表[#Headers],0),0),"")</f>
        <v>震荡</v>
      </c>
      <c r="C95" s="23" cm="1">
        <f t="array" ref="C95">SUM(IFERROR(_xlfn.MAP(($J$95:$J$102+1)/IF($G$95:$G$102="金",11,IF($G$95:$G$102="绿",4,6)),_xlfn.LAMBDA(_xlpm.a,IF(_xlpm.a&gt;1,1,_xlpm.a)))*VLOOKUP($E$95:$E$102,武器MOD表[],MATCH("物理",武器MOD表[#Headers],0),0),0))</f>
        <v>0</v>
      </c>
      <c r="D95" s="76">
        <f t="shared" ref="D95:D102" si="7">(E$113-T95)/T95</f>
        <v>1.5</v>
      </c>
      <c r="E95" s="69" t="s">
        <v>173</v>
      </c>
      <c r="F95" s="93" t="str" cm="1">
        <f t="array" ref="F95">IFERROR(VLOOKUP($E95,_xlfn._xlws.FILTER(武器MOD表[],武器MOD表[类型]=$A$92),MATCH(F$94,武器MOD表[#Headers],0),0),"")</f>
        <v>夜魔</v>
      </c>
      <c r="G95" s="93" t="str" cm="1">
        <f t="array" ref="G95">IFERROR(VLOOKUP($E95,_xlfn._xlws.FILTER(武器MOD表[],武器MOD表[类型]=$A$92),MATCH(G$94,武器MOD表[#Headers],0),0),"")</f>
        <v>金</v>
      </c>
      <c r="H95" s="93" t="str" cm="1">
        <f t="array" ref="H95">IFERROR(VLOOKUP($E95,_xlfn._xlws.FILTER(武器MOD表[],武器MOD表[类型]=$A$92),MATCH(H$94,武器MOD表[#Headers],0),0),"")&amp;""</f>
        <v>O</v>
      </c>
      <c r="I95" s="93" cm="1">
        <f t="array" ref="I95">IF(AND(K95&lt;&gt;"",H95&lt;&gt;""),ROUNDUP(IF(H95=K95,IFERROR(VLOOKUP($E95,_xlfn._xlws.FILTER(武器MOD表[],武器MOD表[类型]=$A$92),7,0)+$J95-IF($G95="金",10,IF($G95="绿",3,5)),0)/2,IFERROR(VLOOKUP($E95,_xlfn._xlws.FILTER(武器MOD表[],武器MOD表[类型]=$A$92),7,0)+$J95-IF($G95="金",10,IF($G95="绿",3,5)),0)*1.5),0),IFERROR(VLOOKUP($E95,_xlfn._xlws.FILTER(武器MOD表[],武器MOD表[类型]=$A$92),7,0)+$J95-IF($G95="金",10,IF($G95="绿",3,5)),0))</f>
        <v>20</v>
      </c>
      <c r="J95" s="106">
        <v>10</v>
      </c>
      <c r="K95" s="69"/>
      <c r="L95" s="68" t="str" cm="1">
        <f t="array" ref="L95">IFERROR(INDEX(武器MOD表[#Headers],SMALL(_xlfn._xlws.FILTER(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,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&lt;&gt;0),ROUNDUP(COLUMNS($L71:L71)/2,0))),"")</f>
        <v>多重</v>
      </c>
      <c r="M95" s="78" cm="1">
        <f t="array" ref="M95">IFERROR(_xlfn.MAP(INDEX(INDEX(武器MOD表[],MATCH(1,(武器MOD表[名称]=$E95)*(武器MOD表[类型]=$A$92),0),),SMALL(_xlfn._xlws.FILTER(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,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&lt;&gt;0),ROUNDUP(COLUMNS($L71:L71)/2,0))),_xlfn.LAMBDA(_xlpm.x,IFERROR(MIN(1,($J95+1)/IF($G95="金",11,IF($G95="绿",4,6)))*_xlpm.x,_xlpm.x))),"")</f>
        <v>1.5</v>
      </c>
      <c r="N95" s="68" t="str" cm="1">
        <f t="array" ref="N95">IFERROR(INDEX(武器MOD表[#Headers],SMALL(_xlfn._xlws.FILTER(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,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&lt;&gt;0),ROUNDUP(COLUMNS($L71:N71)/2,0))),"")</f>
        <v/>
      </c>
      <c r="O95" s="78" t="str" cm="1">
        <f t="array" ref="O95">IFERROR(_xlfn.MAP(INDEX(INDEX(武器MOD表[],MATCH(1,(武器MOD表[名称]=$E95)*(武器MOD表[类型]=$A$92),0),),SMALL(_xlfn._xlws.FILTER(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,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&lt;&gt;0),ROUNDUP(COLUMNS($L71:N71)/2,0))),_xlfn.LAMBDA(_xlpm.x,IFERROR(MIN(1,($J95+1)/IF($G95="金",11,IF($G95="绿",4,6)))*_xlpm.x,_xlpm.x))),"")</f>
        <v/>
      </c>
      <c r="P95" s="68" t="str" cm="1">
        <f t="array" ref="P95">IFERROR(INDEX(武器MOD表[#Headers],SMALL(_xlfn._xlws.FILTER(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,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&lt;&gt;0),ROUNDUP(COLUMNS($L71:P71)/2,0))),"")</f>
        <v/>
      </c>
      <c r="Q95" s="78" t="str" cm="1">
        <f t="array" ref="Q95">IFERROR(_xlfn.MAP(INDEX(INDEX(武器MOD表[],MATCH(1,(武器MOD表[名称]=$E95)*(武器MOD表[类型]=$A$92),0),),SMALL(_xlfn._xlws.FILTER(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,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&lt;&gt;0),ROUNDUP(COLUMNS($L71:P71)/2,0))),_xlfn.LAMBDA(_xlpm.x,IFERROR(MIN(1,($J95+1)/IF($G95="金",11,IF($G95="绿",4,6)))*_xlpm.x,_xlpm.x))),"")</f>
        <v/>
      </c>
      <c r="R95" s="68" t="str" cm="1">
        <f t="array" ref="R95">IFERROR(INDEX(武器MOD表[#Headers],SMALL(_xlfn._xlws.FILTER(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,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&lt;&gt;0),ROUNDUP(COLUMNS($L71:R71)/2,0))),"")</f>
        <v/>
      </c>
      <c r="S95" s="78" t="str" cm="1">
        <f t="array" ref="S95">IFERROR(_xlfn.MAP(INDEX(INDEX(武器MOD表[],MATCH(1,(武器MOD表[名称]=$E95)*(武器MOD表[类型]=$A$92),0),),SMALL(_xlfn._xlws.FILTER(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,COLUMN(_xlfn.DROP(INDEX(武器MOD表[],MATCH(1,(武器MOD表[名称]=$E95)*(武器MOD表[类型]=$A$92),0),),,MATCH("耐受",武器MOD表[#Headers],0)))*(_xlfn.DROP(INDEX(武器MOD表[],MATCH(1,(武器MOD表[名称]=$E95)*(武器MOD表[类型]=$A$92),0),),,MATCH("耐受",武器MOD表[#Headers],0))&lt;&gt;"")&lt;&gt;0),ROUNDUP(COLUMNS($L71:R71)/2,0))),_xlfn.LAMBDA(_xlpm.x,IFERROR(MIN(1,($J95+1)/IF($G95="金",11,IF($G95="绿",4,6)))*_xlpm.x,_xlpm.x))),"")</f>
        <v/>
      </c>
      <c r="T95" s="20" cm="1">
        <f t="array" ref="T95">远程倍率*触发乘区(远程伤害类型,U95,U95+角色攻击*(1-敌方抗性+属性穿透),X95)*(U95+角色攻击*(1-敌方抗性+属性穿透))*昂扬背水乘区(昂扬,背水)*防御乘区(无视防御)*Y95*Z95/基础远程多重*PRODUCT(AA95:AC95+1)*(1+V95*(W95-1))</f>
        <v>424475.145945451</v>
      </c>
      <c r="U95" s="20" cm="1">
        <f t="array" ref="U95">删MOD取远程属性(U$94,ROWS($J$95:$J95))*(1+删MOD取远程属性("物理",ROWS($J$95:$J95)))</f>
        <v>188.28</v>
      </c>
      <c r="V95" s="23" cm="1">
        <f t="array" ref="V95">删MOD取远程属性(V$94,ROWS($J$95:$J95))</f>
        <v>0.5375</v>
      </c>
      <c r="W95" s="23" cm="1">
        <f t="array" ref="W95">删MOD取远程属性(W$94,ROWS($J$95:$J95))</f>
        <v>1.15</v>
      </c>
      <c r="X95" s="23" cm="1">
        <f t="array" ref="X95">删MOD取远程属性(X$94,ROWS($J$95:$J95))</f>
        <v>0.15</v>
      </c>
      <c r="Y95" s="42" cm="1">
        <f t="array" ref="Y95">删MOD取远程属性(Y$94,ROWS($J$95:$J95))</f>
        <v>1</v>
      </c>
      <c r="Z95" s="42" cm="1">
        <f t="array" ref="Z95">删MOD取远程属性(Z$94,ROWS($J$95:$J95))</f>
        <v>1</v>
      </c>
      <c r="AA95" s="23" cm="1">
        <f t="array" ref="AA95">删MOD取远程属性(AA$94,ROWS($J$95:$J95))</f>
        <v>2.75</v>
      </c>
      <c r="AB95" s="23" cm="1">
        <f t="array" ref="AB95">删MOD取远程属性(AB$94,ROWS($J$95:$J95))</f>
        <v>0</v>
      </c>
      <c r="AC95" s="23" cm="1">
        <f t="array" ref="AC95">删MOD取远程属性(AC$94,ROWS($J$95:$J95))</f>
        <v>0.6</v>
      </c>
      <c r="AG95" s="160"/>
      <c r="AV95" t="str">
        <v>坚守</v>
      </c>
    </row>
    <row r="96" spans="1:48">
      <c r="A96" s="68" t="s">
        <v>174</v>
      </c>
      <c r="B96" s="147" t="str">
        <f>IFERROR(VLOOKUP(远程武器,远程武器表[],MATCH(A96,远程武器表[#Headers],0),0),"")</f>
        <v>弹道</v>
      </c>
      <c r="C96" s="148"/>
      <c r="D96" s="76">
        <f t="shared" si="7"/>
        <v>-1.53583975047296e-15</v>
      </c>
      <c r="E96" s="69"/>
      <c r="F96" s="93" t="str" cm="1">
        <f t="array" ref="F96">IFERROR(VLOOKUP($E96,_xlfn._xlws.FILTER(武器MOD表[],武器MOD表[类型]=$A$92),MATCH(F$94,武器MOD表[#Headers],0),0),"")</f>
        <v/>
      </c>
      <c r="G96" s="93" t="str" cm="1">
        <f t="array" ref="G96">IFERROR(VLOOKUP($E96,_xlfn._xlws.FILTER(武器MOD表[],武器MOD表[类型]=$A$92),MATCH(G$94,武器MOD表[#Headers],0),0),"")</f>
        <v/>
      </c>
      <c r="H96" s="93" t="str" cm="1">
        <f t="array" ref="H96">IFERROR(VLOOKUP($E96,_xlfn._xlws.FILTER(武器MOD表[],武器MOD表[类型]=$A$92),MATCH(H$94,武器MOD表[#Headers],0),0),"")&amp;""</f>
        <v/>
      </c>
      <c r="I96" s="93" cm="1">
        <f t="array" ref="I96">IF(AND(K96&lt;&gt;"",H96&lt;&gt;""),ROUNDUP(IF(H96=K96,IFERROR(VLOOKUP($E96,_xlfn._xlws.FILTER(武器MOD表[],武器MOD表[类型]=$A$92),7,0)+$J96-IF($G96="金",10,IF($G96="绿",3,5)),0)/2,IFERROR(VLOOKUP($E96,_xlfn._xlws.FILTER(武器MOD表[],武器MOD表[类型]=$A$92),7,0)+$J96-IF($G96="金",10,IF($G96="绿",3,5)),0)*1.5),0),IFERROR(VLOOKUP($E96,_xlfn._xlws.FILTER(武器MOD表[],武器MOD表[类型]=$A$92),7,0)+$J96-IF($G96="金",10,IF($G96="绿",3,5)),0))</f>
        <v>0</v>
      </c>
      <c r="J96" s="106">
        <v>10</v>
      </c>
      <c r="K96" s="69"/>
      <c r="L96" s="68" t="str" cm="1">
        <f t="array" ref="L96">IFERROR(INDEX(武器MOD表[#Headers],SMALL(_xlfn._xlws.FILTER(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,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&lt;&gt;0),ROUNDUP(COLUMNS($L72:L72)/2,0))),"")</f>
        <v/>
      </c>
      <c r="M96" s="78" t="str" cm="1">
        <f t="array" ref="M96">IFERROR(_xlfn.MAP(INDEX(INDEX(武器MOD表[],MATCH(1,(武器MOD表[名称]=$E96)*(武器MOD表[类型]=$A$92),0),),SMALL(_xlfn._xlws.FILTER(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,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&lt;&gt;0),ROUNDUP(COLUMNS($L72:L72)/2,0))),_xlfn.LAMBDA(_xlpm.x,IFERROR(MIN(1,($J96+1)/IF($G96="金",11,IF($G96="绿",4,6)))*_xlpm.x,_xlpm.x))),"")</f>
        <v/>
      </c>
      <c r="N96" s="68" t="str" cm="1">
        <f t="array" ref="N96">IFERROR(INDEX(武器MOD表[#Headers],SMALL(_xlfn._xlws.FILTER(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,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&lt;&gt;0),ROUNDUP(COLUMNS($L72:N72)/2,0))),"")</f>
        <v/>
      </c>
      <c r="O96" s="78" t="str" cm="1">
        <f t="array" ref="O96">IFERROR(_xlfn.MAP(INDEX(INDEX(武器MOD表[],MATCH(1,(武器MOD表[名称]=$E96)*(武器MOD表[类型]=$A$92),0),),SMALL(_xlfn._xlws.FILTER(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,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&lt;&gt;0),ROUNDUP(COLUMNS($L72:N72)/2,0))),_xlfn.LAMBDA(_xlpm.x,IFERROR(MIN(1,($J96+1)/IF($G96="金",11,IF($G96="绿",4,6)))*_xlpm.x,_xlpm.x))),"")</f>
        <v/>
      </c>
      <c r="P96" s="68" t="str" cm="1">
        <f t="array" ref="P96">IFERROR(INDEX(武器MOD表[#Headers],SMALL(_xlfn._xlws.FILTER(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,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&lt;&gt;0),ROUNDUP(COLUMNS($L72:P72)/2,0))),"")</f>
        <v/>
      </c>
      <c r="Q96" s="78" t="str" cm="1">
        <f t="array" ref="Q96">IFERROR(_xlfn.MAP(INDEX(INDEX(武器MOD表[],MATCH(1,(武器MOD表[名称]=$E96)*(武器MOD表[类型]=$A$92),0),),SMALL(_xlfn._xlws.FILTER(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,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&lt;&gt;0),ROUNDUP(COLUMNS($L72:P72)/2,0))),_xlfn.LAMBDA(_xlpm.x,IFERROR(MIN(1,($J96+1)/IF($G96="金",11,IF($G96="绿",4,6)))*_xlpm.x,_xlpm.x))),"")</f>
        <v/>
      </c>
      <c r="R96" s="68" t="str" cm="1">
        <f t="array" ref="R96">IFERROR(INDEX(武器MOD表[#Headers],SMALL(_xlfn._xlws.FILTER(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,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&lt;&gt;0),ROUNDUP(COLUMNS($L72:R72)/2,0))),"")</f>
        <v/>
      </c>
      <c r="S96" s="78" t="str" cm="1">
        <f t="array" ref="S96">IFERROR(_xlfn.MAP(INDEX(INDEX(武器MOD表[],MATCH(1,(武器MOD表[名称]=$E96)*(武器MOD表[类型]=$A$92),0),),SMALL(_xlfn._xlws.FILTER(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,COLUMN(_xlfn.DROP(INDEX(武器MOD表[],MATCH(1,(武器MOD表[名称]=$E96)*(武器MOD表[类型]=$A$92),0),),,MATCH("耐受",武器MOD表[#Headers],0)))*(_xlfn.DROP(INDEX(武器MOD表[],MATCH(1,(武器MOD表[名称]=$E96)*(武器MOD表[类型]=$A$92),0),),,MATCH("耐受",武器MOD表[#Headers],0))&lt;&gt;"")&lt;&gt;0),ROUNDUP(COLUMNS($L72:R72)/2,0))),_xlfn.LAMBDA(_xlpm.x,IFERROR(MIN(1,($J96+1)/IF($G96="金",11,IF($G96="绿",4,6)))*_xlpm.x,_xlpm.x))),"")</f>
        <v/>
      </c>
      <c r="T96" s="20" cm="1">
        <f t="array" ref="T96">远程倍率*触发乘区(远程伤害类型,U96,U96+角色攻击*(1-敌方抗性+属性穿透),X96)*(U96+角色攻击*(1-敌方抗性+属性穿透))*昂扬背水乘区(昂扬,背水)*防御乘区(无视防御)*Y96*Z96/基础远程多重*PRODUCT(AA96:AC96+1)*(1+V96*(W96-1))</f>
        <v>1061187.86486363</v>
      </c>
      <c r="U96" s="20" cm="1">
        <f t="array" ref="U96">删MOD取远程属性(U$94,ROWS($J$95:$J96))*(1+删MOD取远程属性("物理",ROWS($J$95:$J96)))</f>
        <v>188.28</v>
      </c>
      <c r="V96" s="23" cm="1">
        <f t="array" ref="V96">删MOD取远程属性(V$94,ROWS($J$95:$J96))</f>
        <v>0.5375</v>
      </c>
      <c r="W96" s="23" cm="1">
        <f t="array" ref="W96">删MOD取远程属性(W$94,ROWS($J$95:$J96))</f>
        <v>1.15</v>
      </c>
      <c r="X96" s="23" cm="1">
        <f t="array" ref="X96">删MOD取远程属性(X$94,ROWS($J$95:$J96))</f>
        <v>0.15</v>
      </c>
      <c r="Y96" s="42" cm="1">
        <f t="array" ref="Y96">删MOD取远程属性(Y$94,ROWS($J$95:$J96))</f>
        <v>1</v>
      </c>
      <c r="Z96" s="42" cm="1">
        <f t="array" ref="Z96">删MOD取远程属性(Z$94,ROWS($J$95:$J96))</f>
        <v>2.5</v>
      </c>
      <c r="AA96" s="23" cm="1">
        <f t="array" ref="AA96">删MOD取远程属性(AA$94,ROWS($J$95:$J96))</f>
        <v>2.75</v>
      </c>
      <c r="AB96" s="23" cm="1">
        <f t="array" ref="AB96">删MOD取远程属性(AB$94,ROWS($J$95:$J96))</f>
        <v>0</v>
      </c>
      <c r="AC96" s="23" cm="1">
        <f t="array" ref="AC96">删MOD取远程属性(AC$94,ROWS($J$95:$J96))</f>
        <v>0.6</v>
      </c>
      <c r="AV96" t="str">
        <v>进击</v>
      </c>
    </row>
    <row r="97" spans="1:48">
      <c r="A97" s="68" t="s">
        <v>58</v>
      </c>
      <c r="B97" s="75">
        <f>IFERROR(VLOOKUP(远程武器,远程武器表[],MATCH("基础"&amp;A97,远程武器表[#Headers],0),0),"")</f>
        <v>188.28</v>
      </c>
      <c r="C97" s="75" cm="1">
        <f t="array" ref="C97">B97*(1+C95)*SUM(1,C94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97,武器MOD表[#Headers],0)))),0))</f>
        <v>188.28</v>
      </c>
      <c r="D97" s="76">
        <f t="shared" si="7"/>
        <v>-1.53583975047296e-15</v>
      </c>
      <c r="E97" s="69"/>
      <c r="F97" s="93" t="str" cm="1">
        <f t="array" ref="F97">IFERROR(VLOOKUP($E97,_xlfn._xlws.FILTER(武器MOD表[],武器MOD表[类型]=$A$92),MATCH(F$94,武器MOD表[#Headers],0),0),"")</f>
        <v/>
      </c>
      <c r="G97" s="93" t="str" cm="1">
        <f t="array" ref="G97">IFERROR(VLOOKUP($E97,_xlfn._xlws.FILTER(武器MOD表[],武器MOD表[类型]=$A$92),MATCH(G$94,武器MOD表[#Headers],0),0),"")</f>
        <v/>
      </c>
      <c r="H97" s="93" t="str" cm="1">
        <f t="array" ref="H97">IFERROR(VLOOKUP($E97,_xlfn._xlws.FILTER(武器MOD表[],武器MOD表[类型]=$A$92),MATCH(H$94,武器MOD表[#Headers],0),0),"")&amp;""</f>
        <v/>
      </c>
      <c r="I97" s="93" cm="1">
        <f t="array" ref="I97">IF(AND(K97&lt;&gt;"",H97&lt;&gt;""),ROUNDUP(IF(H97=K97,IFERROR(VLOOKUP($E97,_xlfn._xlws.FILTER(武器MOD表[],武器MOD表[类型]=$A$92),7,0)+$J97-IF($G97="金",10,IF($G97="绿",3,5)),0)/2,IFERROR(VLOOKUP($E97,_xlfn._xlws.FILTER(武器MOD表[],武器MOD表[类型]=$A$92),7,0)+$J97-IF($G97="金",10,IF($G97="绿",3,5)),0)*1.5),0),IFERROR(VLOOKUP($E97,_xlfn._xlws.FILTER(武器MOD表[],武器MOD表[类型]=$A$92),7,0)+$J97-IF($G97="金",10,IF($G97="绿",3,5)),0))</f>
        <v>0</v>
      </c>
      <c r="J97" s="106">
        <v>10</v>
      </c>
      <c r="K97" s="69"/>
      <c r="L97" s="68" t="str" cm="1">
        <f t="array" ref="L97">IFERROR(INDEX(武器MOD表[#Headers],SMALL(_xlfn._xlws.FILTER(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,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&lt;&gt;0),ROUNDUP(COLUMNS($L73:L73)/2,0))),"")</f>
        <v/>
      </c>
      <c r="M97" s="78" t="str" cm="1">
        <f t="array" ref="M97">IFERROR(_xlfn.MAP(INDEX(INDEX(武器MOD表[],MATCH(1,(武器MOD表[名称]=$E97)*(武器MOD表[类型]=$A$92),0),),SMALL(_xlfn._xlws.FILTER(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,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&lt;&gt;0),ROUNDUP(COLUMNS($L73:L73)/2,0))),_xlfn.LAMBDA(_xlpm.x,IFERROR(MIN(1,($J97+1)/IF($G97="金",11,IF($G97="绿",4,6)))*_xlpm.x,_xlpm.x))),"")</f>
        <v/>
      </c>
      <c r="N97" s="68" t="str" cm="1">
        <f t="array" ref="N97">IFERROR(INDEX(武器MOD表[#Headers],SMALL(_xlfn._xlws.FILTER(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,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&lt;&gt;0),ROUNDUP(COLUMNS($L73:N73)/2,0))),"")</f>
        <v/>
      </c>
      <c r="O97" s="78" t="str" cm="1">
        <f t="array" ref="O97">IFERROR(_xlfn.MAP(INDEX(INDEX(武器MOD表[],MATCH(1,(武器MOD表[名称]=$E97)*(武器MOD表[类型]=$A$92),0),),SMALL(_xlfn._xlws.FILTER(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,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&lt;&gt;0),ROUNDUP(COLUMNS($L73:N73)/2,0))),_xlfn.LAMBDA(_xlpm.x,IFERROR(MIN(1,($J97+1)/IF($G97="金",11,IF($G97="绿",4,6)))*_xlpm.x,_xlpm.x))),"")</f>
        <v/>
      </c>
      <c r="P97" s="68" t="str" cm="1">
        <f t="array" ref="P97">IFERROR(INDEX(武器MOD表[#Headers],SMALL(_xlfn._xlws.FILTER(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,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&lt;&gt;0),ROUNDUP(COLUMNS($L73:P73)/2,0))),"")</f>
        <v/>
      </c>
      <c r="Q97" s="78" t="str" cm="1">
        <f t="array" ref="Q97">IFERROR(_xlfn.MAP(INDEX(INDEX(武器MOD表[],MATCH(1,(武器MOD表[名称]=$E97)*(武器MOD表[类型]=$A$92),0),),SMALL(_xlfn._xlws.FILTER(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,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&lt;&gt;0),ROUNDUP(COLUMNS($L73:P73)/2,0))),_xlfn.LAMBDA(_xlpm.x,IFERROR(MIN(1,($J97+1)/IF($G97="金",11,IF($G97="绿",4,6)))*_xlpm.x,_xlpm.x))),"")</f>
        <v/>
      </c>
      <c r="R97" s="68" t="str" cm="1">
        <f t="array" ref="R97">IFERROR(INDEX(武器MOD表[#Headers],SMALL(_xlfn._xlws.FILTER(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,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&lt;&gt;0),ROUNDUP(COLUMNS($L73:R73)/2,0))),"")</f>
        <v/>
      </c>
      <c r="S97" s="78" t="str" cm="1">
        <f t="array" ref="S97">IFERROR(_xlfn.MAP(INDEX(INDEX(武器MOD表[],MATCH(1,(武器MOD表[名称]=$E97)*(武器MOD表[类型]=$A$92),0),),SMALL(_xlfn._xlws.FILTER(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,COLUMN(_xlfn.DROP(INDEX(武器MOD表[],MATCH(1,(武器MOD表[名称]=$E97)*(武器MOD表[类型]=$A$92),0),),,MATCH("耐受",武器MOD表[#Headers],0)))*(_xlfn.DROP(INDEX(武器MOD表[],MATCH(1,(武器MOD表[名称]=$E97)*(武器MOD表[类型]=$A$92),0),),,MATCH("耐受",武器MOD表[#Headers],0))&lt;&gt;"")&lt;&gt;0),ROUNDUP(COLUMNS($L73:R73)/2,0))),_xlfn.LAMBDA(_xlpm.x,IFERROR(MIN(1,($J97+1)/IF($G97="金",11,IF($G97="绿",4,6)))*_xlpm.x,_xlpm.x))),"")</f>
        <v/>
      </c>
      <c r="T97" s="20" cm="1">
        <f t="array" ref="T97">远程倍率*触发乘区(远程伤害类型,U97,U97+角色攻击*(1-敌方抗性+属性穿透),X97)*(U97+角色攻击*(1-敌方抗性+属性穿透))*昂扬背水乘区(昂扬,背水)*防御乘区(无视防御)*Y97*Z97/基础远程多重*PRODUCT(AA97:AC97+1)*(1+V97*(W97-1))</f>
        <v>1061187.86486363</v>
      </c>
      <c r="U97" s="20" cm="1">
        <f t="array" ref="U97">删MOD取远程属性(U$94,ROWS($J$95:$J97))*(1+删MOD取远程属性("物理",ROWS($J$95:$J97)))</f>
        <v>188.28</v>
      </c>
      <c r="V97" s="23" cm="1">
        <f t="array" ref="V97">删MOD取远程属性(V$94,ROWS($J$95:$J97))</f>
        <v>0.5375</v>
      </c>
      <c r="W97" s="23" cm="1">
        <f t="array" ref="W97">删MOD取远程属性(W$94,ROWS($J$95:$J97))</f>
        <v>1.15</v>
      </c>
      <c r="X97" s="23" cm="1">
        <f t="array" ref="X97">删MOD取远程属性(X$94,ROWS($J$95:$J97))</f>
        <v>0.15</v>
      </c>
      <c r="Y97" s="42" cm="1">
        <f t="array" ref="Y97">删MOD取远程属性(Y$94,ROWS($J$95:$J97))</f>
        <v>1</v>
      </c>
      <c r="Z97" s="42" cm="1">
        <f t="array" ref="Z97">删MOD取远程属性(Z$94,ROWS($J$95:$J97))</f>
        <v>2.5</v>
      </c>
      <c r="AA97" s="23" cm="1">
        <f t="array" ref="AA97">删MOD取远程属性(AA$94,ROWS($J$95:$J97))</f>
        <v>2.75</v>
      </c>
      <c r="AB97" s="23" cm="1">
        <f t="array" ref="AB97">删MOD取远程属性(AB$94,ROWS($J$95:$J97))</f>
        <v>0</v>
      </c>
      <c r="AC97" s="23" cm="1">
        <f t="array" ref="AC97">删MOD取远程属性(AC$94,ROWS($J$95:$J97))</f>
        <v>0.6</v>
      </c>
      <c r="AV97" t="str">
        <v>蛮勇</v>
      </c>
    </row>
    <row r="98" spans="1:48">
      <c r="A98" s="68" t="s">
        <v>147</v>
      </c>
      <c r="B98" s="78">
        <f>IFERROR(VLOOKUP(远程武器,远程武器表[],MATCH("基础"&amp;A98,远程武器表[#Headers],0),0),"")</f>
        <v>0.25</v>
      </c>
      <c r="C98" s="78" cm="1">
        <f t="array" ref="C98">B98*SUM(1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98,武器MOD表[#Headers],0)))),0),IFERROR(BUFF层数乘数*VLOOKUP(BUFF,BUFF表[],MATCH(A98,BUFF表[#Headers],0),0),0))</f>
        <v>0.5375</v>
      </c>
      <c r="D98" s="76">
        <f t="shared" si="7"/>
        <v>-1.53583975047296e-15</v>
      </c>
      <c r="E98" s="69"/>
      <c r="F98" s="93" t="str" cm="1">
        <f t="array" ref="F98">IFERROR(VLOOKUP($E98,_xlfn._xlws.FILTER(武器MOD表[],武器MOD表[类型]=$A$92),MATCH(F$94,武器MOD表[#Headers],0),0),"")</f>
        <v/>
      </c>
      <c r="G98" s="93" t="str" cm="1">
        <f t="array" ref="G98">IFERROR(VLOOKUP($E98,_xlfn._xlws.FILTER(武器MOD表[],武器MOD表[类型]=$A$92),MATCH(G$94,武器MOD表[#Headers],0),0),"")</f>
        <v/>
      </c>
      <c r="H98" s="93" t="str" cm="1">
        <f t="array" ref="H98">IFERROR(VLOOKUP($E98,_xlfn._xlws.FILTER(武器MOD表[],武器MOD表[类型]=$A$92),MATCH(H$94,武器MOD表[#Headers],0),0),"")&amp;""</f>
        <v/>
      </c>
      <c r="I98" s="93" cm="1">
        <f t="array" ref="I98">IF(AND(K98&lt;&gt;"",H98&lt;&gt;""),ROUNDUP(IF(H98=K98,IFERROR(VLOOKUP($E98,_xlfn._xlws.FILTER(武器MOD表[],武器MOD表[类型]=$A$92),7,0)+$J98-IF($G98="金",10,IF($G98="绿",3,5)),0)/2,IFERROR(VLOOKUP($E98,_xlfn._xlws.FILTER(武器MOD表[],武器MOD表[类型]=$A$92),7,0)+$J98-IF($G98="金",10,IF($G98="绿",3,5)),0)*1.5),0),IFERROR(VLOOKUP($E98,_xlfn._xlws.FILTER(武器MOD表[],武器MOD表[类型]=$A$92),7,0)+$J98-IF($G98="金",10,IF($G98="绿",3,5)),0))</f>
        <v>0</v>
      </c>
      <c r="J98" s="106">
        <v>10</v>
      </c>
      <c r="K98" s="69"/>
      <c r="L98" s="68" t="str" cm="1">
        <f t="array" ref="L98">IFERROR(INDEX(武器MOD表[#Headers],SMALL(_xlfn._xlws.FILTER(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,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&lt;&gt;0),ROUNDUP(COLUMNS($L74:L74)/2,0))),"")</f>
        <v/>
      </c>
      <c r="M98" s="78" t="str" cm="1">
        <f t="array" ref="M98">IFERROR(_xlfn.MAP(INDEX(INDEX(武器MOD表[],MATCH(1,(武器MOD表[名称]=$E98)*(武器MOD表[类型]=$A$92),0),),SMALL(_xlfn._xlws.FILTER(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,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&lt;&gt;0),ROUNDUP(COLUMNS($L74:L74)/2,0))),_xlfn.LAMBDA(_xlpm.x,IFERROR(MIN(1,($J98+1)/IF($G98="金",11,IF($G98="绿",4,6)))*_xlpm.x,_xlpm.x))),"")</f>
        <v/>
      </c>
      <c r="N98" s="68" t="str" cm="1">
        <f t="array" ref="N98">IFERROR(INDEX(武器MOD表[#Headers],SMALL(_xlfn._xlws.FILTER(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,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&lt;&gt;0),ROUNDUP(COLUMNS($L74:N74)/2,0))),"")</f>
        <v/>
      </c>
      <c r="O98" s="78" t="str" cm="1">
        <f t="array" ref="O98">IFERROR(_xlfn.MAP(INDEX(INDEX(武器MOD表[],MATCH(1,(武器MOD表[名称]=$E98)*(武器MOD表[类型]=$A$92),0),),SMALL(_xlfn._xlws.FILTER(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,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&lt;&gt;0),ROUNDUP(COLUMNS($L74:N74)/2,0))),_xlfn.LAMBDA(_xlpm.x,IFERROR(MIN(1,($J98+1)/IF($G98="金",11,IF($G98="绿",4,6)))*_xlpm.x,_xlpm.x))),"")</f>
        <v/>
      </c>
      <c r="P98" s="68" t="str" cm="1">
        <f t="array" ref="P98">IFERROR(INDEX(武器MOD表[#Headers],SMALL(_xlfn._xlws.FILTER(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,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&lt;&gt;0),ROUNDUP(COLUMNS($L74:P74)/2,0))),"")</f>
        <v/>
      </c>
      <c r="Q98" s="78" t="str" cm="1">
        <f t="array" ref="Q98">IFERROR(_xlfn.MAP(INDEX(INDEX(武器MOD表[],MATCH(1,(武器MOD表[名称]=$E98)*(武器MOD表[类型]=$A$92),0),),SMALL(_xlfn._xlws.FILTER(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,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&lt;&gt;0),ROUNDUP(COLUMNS($L74:P74)/2,0))),_xlfn.LAMBDA(_xlpm.x,IFERROR(MIN(1,($J98+1)/IF($G98="金",11,IF($G98="绿",4,6)))*_xlpm.x,_xlpm.x))),"")</f>
        <v/>
      </c>
      <c r="R98" s="68" t="str" cm="1">
        <f t="array" ref="R98">IFERROR(INDEX(武器MOD表[#Headers],SMALL(_xlfn._xlws.FILTER(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,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&lt;&gt;0),ROUNDUP(COLUMNS($L74:R74)/2,0))),"")</f>
        <v/>
      </c>
      <c r="S98" s="78" t="str" cm="1">
        <f t="array" ref="S98">IFERROR(_xlfn.MAP(INDEX(INDEX(武器MOD表[],MATCH(1,(武器MOD表[名称]=$E98)*(武器MOD表[类型]=$A$92),0),),SMALL(_xlfn._xlws.FILTER(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,COLUMN(_xlfn.DROP(INDEX(武器MOD表[],MATCH(1,(武器MOD表[名称]=$E98)*(武器MOD表[类型]=$A$92),0),),,MATCH("耐受",武器MOD表[#Headers],0)))*(_xlfn.DROP(INDEX(武器MOD表[],MATCH(1,(武器MOD表[名称]=$E98)*(武器MOD表[类型]=$A$92),0),),,MATCH("耐受",武器MOD表[#Headers],0))&lt;&gt;"")&lt;&gt;0),ROUNDUP(COLUMNS($L74:R74)/2,0))),_xlfn.LAMBDA(_xlpm.x,IFERROR(MIN(1,($J98+1)/IF($G98="金",11,IF($G98="绿",4,6)))*_xlpm.x,_xlpm.x))),"")</f>
        <v/>
      </c>
      <c r="T98" s="20" cm="1">
        <f t="array" ref="T98">远程倍率*触发乘区(远程伤害类型,U98,U98+角色攻击*(1-敌方抗性+属性穿透),X98)*(U98+角色攻击*(1-敌方抗性+属性穿透))*昂扬背水乘区(昂扬,背水)*防御乘区(无视防御)*Y98*Z98/基础远程多重*PRODUCT(AA98:AC98+1)*(1+V98*(W98-1))</f>
        <v>1061187.86486363</v>
      </c>
      <c r="U98" s="20" cm="1">
        <f t="array" ref="U98">删MOD取远程属性(U$94,ROWS($J$95:$J98))*(1+删MOD取远程属性("物理",ROWS($J$95:$J98)))</f>
        <v>188.28</v>
      </c>
      <c r="V98" s="23" cm="1">
        <f t="array" ref="V98">删MOD取远程属性(V$94,ROWS($J$95:$J98))</f>
        <v>0.5375</v>
      </c>
      <c r="W98" s="23" cm="1">
        <f t="array" ref="W98">删MOD取远程属性(W$94,ROWS($J$95:$J98))</f>
        <v>1.15</v>
      </c>
      <c r="X98" s="23" cm="1">
        <f t="array" ref="X98">删MOD取远程属性(X$94,ROWS($J$95:$J98))</f>
        <v>0.15</v>
      </c>
      <c r="Y98" s="42" cm="1">
        <f t="array" ref="Y98">删MOD取远程属性(Y$94,ROWS($J$95:$J98))</f>
        <v>1</v>
      </c>
      <c r="Z98" s="42" cm="1">
        <f t="array" ref="Z98">删MOD取远程属性(Z$94,ROWS($J$95:$J98))</f>
        <v>2.5</v>
      </c>
      <c r="AA98" s="23" cm="1">
        <f t="array" ref="AA98">删MOD取远程属性(AA$94,ROWS($J$95:$J98))</f>
        <v>2.75</v>
      </c>
      <c r="AB98" s="23" cm="1">
        <f t="array" ref="AB98">删MOD取远程属性(AB$94,ROWS($J$95:$J98))</f>
        <v>0</v>
      </c>
      <c r="AC98" s="23" cm="1">
        <f t="array" ref="AC98">删MOD取远程属性(AC$94,ROWS($J$95:$J98))</f>
        <v>0.6</v>
      </c>
      <c r="AV98" t="str">
        <v>决斗</v>
      </c>
    </row>
    <row r="99" spans="1:48">
      <c r="A99" s="68" t="s">
        <v>148</v>
      </c>
      <c r="B99" s="78">
        <f>IFERROR(VLOOKUP(远程武器,远程武器表[],MATCH("基础"&amp;A99,远程武器表[#Headers],0),0),"")</f>
        <v>2.3</v>
      </c>
      <c r="C99" s="78" cm="1">
        <f t="array" ref="C99">B99*SUM(1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99,武器MOD表[#Headers],0)))),0),IFERROR(BUFF层数乘数*VLOOKUP(BUFF,BUFF表[],MATCH(A99,BUFF表[#Headers],0),0),0))</f>
        <v>1.15</v>
      </c>
      <c r="D99" s="76">
        <f t="shared" si="7"/>
        <v>-1.53583975047296e-15</v>
      </c>
      <c r="E99" s="69"/>
      <c r="F99" s="93" t="str" cm="1">
        <f t="array" ref="F99">IFERROR(VLOOKUP($E99,_xlfn._xlws.FILTER(武器MOD表[],武器MOD表[类型]=$A$92),MATCH(F$94,武器MOD表[#Headers],0),0),"")</f>
        <v/>
      </c>
      <c r="G99" s="93" t="str" cm="1">
        <f t="array" ref="G99">IFERROR(VLOOKUP($E99,_xlfn._xlws.FILTER(武器MOD表[],武器MOD表[类型]=$A$92),MATCH(G$94,武器MOD表[#Headers],0),0),"")</f>
        <v/>
      </c>
      <c r="H99" s="93" t="str" cm="1">
        <f t="array" ref="H99">IFERROR(VLOOKUP($E99,_xlfn._xlws.FILTER(武器MOD表[],武器MOD表[类型]=$A$92),MATCH(H$94,武器MOD表[#Headers],0),0),"")&amp;""</f>
        <v/>
      </c>
      <c r="I99" s="93" cm="1">
        <f t="array" ref="I99">IF(AND(K99&lt;&gt;"",H99&lt;&gt;""),ROUNDUP(IF(H99=K99,IFERROR(VLOOKUP($E99,_xlfn._xlws.FILTER(武器MOD表[],武器MOD表[类型]=$A$92),7,0)+$J99-IF($G99="金",10,IF($G99="绿",3,5)),0)/2,IFERROR(VLOOKUP($E99,_xlfn._xlws.FILTER(武器MOD表[],武器MOD表[类型]=$A$92),7,0)+$J99-IF($G99="金",10,IF($G99="绿",3,5)),0)*1.5),0),IFERROR(VLOOKUP($E99,_xlfn._xlws.FILTER(武器MOD表[],武器MOD表[类型]=$A$92),7,0)+$J99-IF($G99="金",10,IF($G99="绿",3,5)),0))</f>
        <v>0</v>
      </c>
      <c r="J99" s="106">
        <v>10</v>
      </c>
      <c r="K99" s="69"/>
      <c r="L99" s="68" t="str" cm="1">
        <f t="array" ref="L99">IFERROR(INDEX(武器MOD表[#Headers],SMALL(_xlfn._xlws.FILTER(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,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&lt;&gt;0),ROUNDUP(COLUMNS($L75:L75)/2,0))),"")</f>
        <v/>
      </c>
      <c r="M99" s="78" t="str" cm="1">
        <f t="array" ref="M99">IFERROR(_xlfn.MAP(INDEX(INDEX(武器MOD表[],MATCH(1,(武器MOD表[名称]=$E99)*(武器MOD表[类型]=$A$92),0),),SMALL(_xlfn._xlws.FILTER(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,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&lt;&gt;0),ROUNDUP(COLUMNS($L75:L75)/2,0))),_xlfn.LAMBDA(_xlpm.x,IFERROR(MIN(1,($J99+1)/IF($G99="金",11,IF($G99="绿",4,6)))*_xlpm.x,_xlpm.x))),"")</f>
        <v/>
      </c>
      <c r="N99" s="68" t="str" cm="1">
        <f t="array" ref="N99">IFERROR(INDEX(武器MOD表[#Headers],SMALL(_xlfn._xlws.FILTER(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,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&lt;&gt;0),ROUNDUP(COLUMNS($L75:N75)/2,0))),"")</f>
        <v/>
      </c>
      <c r="O99" s="78" t="str" cm="1">
        <f t="array" ref="O99">IFERROR(_xlfn.MAP(INDEX(INDEX(武器MOD表[],MATCH(1,(武器MOD表[名称]=$E99)*(武器MOD表[类型]=$A$92),0),),SMALL(_xlfn._xlws.FILTER(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,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&lt;&gt;0),ROUNDUP(COLUMNS($L75:N75)/2,0))),_xlfn.LAMBDA(_xlpm.x,IFERROR(MIN(1,($J99+1)/IF($G99="金",11,IF($G99="绿",4,6)))*_xlpm.x,_xlpm.x))),"")</f>
        <v/>
      </c>
      <c r="P99" s="68" t="str" cm="1">
        <f t="array" ref="P99">IFERROR(INDEX(武器MOD表[#Headers],SMALL(_xlfn._xlws.FILTER(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,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&lt;&gt;0),ROUNDUP(COLUMNS($L75:P75)/2,0))),"")</f>
        <v/>
      </c>
      <c r="Q99" s="78" t="str" cm="1">
        <f t="array" ref="Q99">IFERROR(_xlfn.MAP(INDEX(INDEX(武器MOD表[],MATCH(1,(武器MOD表[名称]=$E99)*(武器MOD表[类型]=$A$92),0),),SMALL(_xlfn._xlws.FILTER(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,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&lt;&gt;0),ROUNDUP(COLUMNS($L75:P75)/2,0))),_xlfn.LAMBDA(_xlpm.x,IFERROR(MIN(1,($J99+1)/IF($G99="金",11,IF($G99="绿",4,6)))*_xlpm.x,_xlpm.x))),"")</f>
        <v/>
      </c>
      <c r="R99" s="68" t="str" cm="1">
        <f t="array" ref="R99">IFERROR(INDEX(武器MOD表[#Headers],SMALL(_xlfn._xlws.FILTER(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,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&lt;&gt;0),ROUNDUP(COLUMNS($L75:R75)/2,0))),"")</f>
        <v/>
      </c>
      <c r="S99" s="78" t="str" cm="1">
        <f t="array" ref="S99">IFERROR(_xlfn.MAP(INDEX(INDEX(武器MOD表[],MATCH(1,(武器MOD表[名称]=$E99)*(武器MOD表[类型]=$A$92),0),),SMALL(_xlfn._xlws.FILTER(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,COLUMN(_xlfn.DROP(INDEX(武器MOD表[],MATCH(1,(武器MOD表[名称]=$E99)*(武器MOD表[类型]=$A$92),0),),,MATCH("耐受",武器MOD表[#Headers],0)))*(_xlfn.DROP(INDEX(武器MOD表[],MATCH(1,(武器MOD表[名称]=$E99)*(武器MOD表[类型]=$A$92),0),),,MATCH("耐受",武器MOD表[#Headers],0))&lt;&gt;"")&lt;&gt;0),ROUNDUP(COLUMNS($L75:R75)/2,0))),_xlfn.LAMBDA(_xlpm.x,IFERROR(MIN(1,($J99+1)/IF($G99="金",11,IF($G99="绿",4,6)))*_xlpm.x,_xlpm.x))),"")</f>
        <v/>
      </c>
      <c r="T99" s="20" cm="1">
        <f t="array" ref="T99">远程倍率*触发乘区(远程伤害类型,U99,U99+角色攻击*(1-敌方抗性+属性穿透),X99)*(U99+角色攻击*(1-敌方抗性+属性穿透))*昂扬背水乘区(昂扬,背水)*防御乘区(无视防御)*Y99*Z99/基础远程多重*PRODUCT(AA99:AC99+1)*(1+V99*(W99-1))</f>
        <v>1061187.86486363</v>
      </c>
      <c r="U99" s="20" cm="1">
        <f t="array" ref="U99">删MOD取远程属性(U$94,ROWS($J$95:$J99))*(1+删MOD取远程属性("物理",ROWS($J$95:$J99)))</f>
        <v>188.28</v>
      </c>
      <c r="V99" s="23" cm="1">
        <f t="array" ref="V99">删MOD取远程属性(V$94,ROWS($J$95:$J99))</f>
        <v>0.5375</v>
      </c>
      <c r="W99" s="23" cm="1">
        <f t="array" ref="W99">删MOD取远程属性(W$94,ROWS($J$95:$J99))</f>
        <v>1.15</v>
      </c>
      <c r="X99" s="23" cm="1">
        <f t="array" ref="X99">删MOD取远程属性(X$94,ROWS($J$95:$J99))</f>
        <v>0.15</v>
      </c>
      <c r="Y99" s="42" cm="1">
        <f t="array" ref="Y99">删MOD取远程属性(Y$94,ROWS($J$95:$J99))</f>
        <v>1</v>
      </c>
      <c r="Z99" s="42" cm="1">
        <f t="array" ref="Z99">删MOD取远程属性(Z$94,ROWS($J$95:$J99))</f>
        <v>2.5</v>
      </c>
      <c r="AA99" s="23" cm="1">
        <f t="array" ref="AA99">删MOD取远程属性(AA$94,ROWS($J$95:$J99))</f>
        <v>2.75</v>
      </c>
      <c r="AB99" s="23" cm="1">
        <f t="array" ref="AB99">删MOD取远程属性(AB$94,ROWS($J$95:$J99))</f>
        <v>0</v>
      </c>
      <c r="AC99" s="23" cm="1">
        <f t="array" ref="AC99">删MOD取远程属性(AC$94,ROWS($J$95:$J99))</f>
        <v>0.6</v>
      </c>
      <c r="AV99" t="str">
        <v>陷阵</v>
      </c>
    </row>
    <row r="100" spans="1:48">
      <c r="A100" s="68" t="s">
        <v>156</v>
      </c>
      <c r="B100" s="93">
        <f>ROUNDDOWN(B98,0)</f>
        <v>0</v>
      </c>
      <c r="C100" s="78">
        <f>($C$99-1)*B100+1</f>
        <v>1</v>
      </c>
      <c r="D100" s="76">
        <f t="shared" si="7"/>
        <v>-1.53583975047296e-15</v>
      </c>
      <c r="E100" s="69"/>
      <c r="F100" s="93" t="str" cm="1">
        <f t="array" ref="F100">IFERROR(VLOOKUP($E100,_xlfn._xlws.FILTER(武器MOD表[],武器MOD表[类型]=$A$92),MATCH(F$94,武器MOD表[#Headers],0),0),"")</f>
        <v/>
      </c>
      <c r="G100" s="93" t="str" cm="1">
        <f t="array" ref="G100">IFERROR(VLOOKUP($E100,_xlfn._xlws.FILTER(武器MOD表[],武器MOD表[类型]=$A$92),MATCH(G$94,武器MOD表[#Headers],0),0),"")</f>
        <v/>
      </c>
      <c r="H100" s="93" t="str" cm="1">
        <f t="array" ref="H100">IFERROR(VLOOKUP($E100,_xlfn._xlws.FILTER(武器MOD表[],武器MOD表[类型]=$A$92),MATCH(H$94,武器MOD表[#Headers],0),0),"")&amp;""</f>
        <v/>
      </c>
      <c r="I100" s="93" cm="1">
        <f t="array" ref="I100">IF(AND(K100&lt;&gt;"",H100&lt;&gt;""),ROUNDUP(IF(H100=K100,IFERROR(VLOOKUP($E100,_xlfn._xlws.FILTER(武器MOD表[],武器MOD表[类型]=$A$92),7,0)+$J100-IF($G100="金",10,IF($G100="绿",3,5)),0)/2,IFERROR(VLOOKUP($E100,_xlfn._xlws.FILTER(武器MOD表[],武器MOD表[类型]=$A$92),7,0)+$J100-IF($G100="金",10,IF($G100="绿",3,5)),0)*1.5),0),IFERROR(VLOOKUP($E100,_xlfn._xlws.FILTER(武器MOD表[],武器MOD表[类型]=$A$92),7,0)+$J100-IF($G100="金",10,IF($G100="绿",3,5)),0))</f>
        <v>0</v>
      </c>
      <c r="J100" s="106">
        <v>10</v>
      </c>
      <c r="K100" s="69"/>
      <c r="L100" s="68" t="str" cm="1">
        <f t="array" ref="L100">IFERROR(INDEX(武器MOD表[#Headers],SMALL(_xlfn._xlws.FILTER(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,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&lt;&gt;0),ROUNDUP(COLUMNS($L76:L76)/2,0))),"")</f>
        <v/>
      </c>
      <c r="M100" s="78" t="str" cm="1">
        <f t="array" ref="M100">IFERROR(_xlfn.MAP(INDEX(INDEX(武器MOD表[],MATCH(1,(武器MOD表[名称]=$E100)*(武器MOD表[类型]=$A$92),0),),SMALL(_xlfn._xlws.FILTER(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,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&lt;&gt;0),ROUNDUP(COLUMNS($L76:L76)/2,0))),_xlfn.LAMBDA(_xlpm.x,IFERROR(MIN(1,($J100+1)/IF($G100="金",11,IF($G100="绿",4,6)))*_xlpm.x,_xlpm.x))),"")</f>
        <v/>
      </c>
      <c r="N100" s="68" t="str" cm="1">
        <f t="array" ref="N100">IFERROR(INDEX(武器MOD表[#Headers],SMALL(_xlfn._xlws.FILTER(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,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&lt;&gt;0),ROUNDUP(COLUMNS($L76:N76)/2,0))),"")</f>
        <v/>
      </c>
      <c r="O100" s="78" t="str" cm="1">
        <f t="array" ref="O100">IFERROR(_xlfn.MAP(INDEX(INDEX(武器MOD表[],MATCH(1,(武器MOD表[名称]=$E100)*(武器MOD表[类型]=$A$92),0),),SMALL(_xlfn._xlws.FILTER(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,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&lt;&gt;0),ROUNDUP(COLUMNS($L76:N76)/2,0))),_xlfn.LAMBDA(_xlpm.x,IFERROR(MIN(1,($J100+1)/IF($G100="金",11,IF($G100="绿",4,6)))*_xlpm.x,_xlpm.x))),"")</f>
        <v/>
      </c>
      <c r="P100" s="68" t="str" cm="1">
        <f t="array" ref="P100">IFERROR(INDEX(武器MOD表[#Headers],SMALL(_xlfn._xlws.FILTER(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,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&lt;&gt;0),ROUNDUP(COLUMNS($L76:P76)/2,0))),"")</f>
        <v/>
      </c>
      <c r="Q100" s="78" t="str" cm="1">
        <f t="array" ref="Q100">IFERROR(_xlfn.MAP(INDEX(INDEX(武器MOD表[],MATCH(1,(武器MOD表[名称]=$E100)*(武器MOD表[类型]=$A$92),0),),SMALL(_xlfn._xlws.FILTER(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,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&lt;&gt;0),ROUNDUP(COLUMNS($L76:P76)/2,0))),_xlfn.LAMBDA(_xlpm.x,IFERROR(MIN(1,($J100+1)/IF($G100="金",11,IF($G100="绿",4,6)))*_xlpm.x,_xlpm.x))),"")</f>
        <v/>
      </c>
      <c r="R100" s="68" t="str" cm="1">
        <f t="array" ref="R100">IFERROR(INDEX(武器MOD表[#Headers],SMALL(_xlfn._xlws.FILTER(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,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&lt;&gt;0),ROUNDUP(COLUMNS($L76:R76)/2,0))),"")</f>
        <v/>
      </c>
      <c r="S100" s="78" t="str" cm="1">
        <f t="array" ref="S100">IFERROR(_xlfn.MAP(INDEX(INDEX(武器MOD表[],MATCH(1,(武器MOD表[名称]=$E100)*(武器MOD表[类型]=$A$92),0),),SMALL(_xlfn._xlws.FILTER(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,COLUMN(_xlfn.DROP(INDEX(武器MOD表[],MATCH(1,(武器MOD表[名称]=$E100)*(武器MOD表[类型]=$A$92),0),),,MATCH("耐受",武器MOD表[#Headers],0)))*(_xlfn.DROP(INDEX(武器MOD表[],MATCH(1,(武器MOD表[名称]=$E100)*(武器MOD表[类型]=$A$92),0),),,MATCH("耐受",武器MOD表[#Headers],0))&lt;&gt;"")&lt;&gt;0),ROUNDUP(COLUMNS($L76:R76)/2,0))),_xlfn.LAMBDA(_xlpm.x,IFERROR(MIN(1,($J100+1)/IF($G100="金",11,IF($G100="绿",4,6)))*_xlpm.x,_xlpm.x))),"")</f>
        <v/>
      </c>
      <c r="T100" s="20" cm="1">
        <f t="array" ref="T100">远程倍率*触发乘区(远程伤害类型,U100,U100+角色攻击*(1-敌方抗性+属性穿透),X100)*(U100+角色攻击*(1-敌方抗性+属性穿透))*昂扬背水乘区(昂扬,背水)*防御乘区(无视防御)*Y100*Z100/基础远程多重*PRODUCT(AA100:AC100+1)*(1+V100*(W100-1))</f>
        <v>1061187.86486363</v>
      </c>
      <c r="U100" s="20" cm="1">
        <f t="array" ref="U100">删MOD取远程属性(U$94,ROWS($J$95:$J100))*(1+删MOD取远程属性("物理",ROWS($J$95:$J100)))</f>
        <v>188.28</v>
      </c>
      <c r="V100" s="23" cm="1">
        <f t="array" ref="V100">删MOD取远程属性(V$94,ROWS($J$95:$J100))</f>
        <v>0.5375</v>
      </c>
      <c r="W100" s="23" cm="1">
        <f t="array" ref="W100">删MOD取远程属性(W$94,ROWS($J$95:$J100))</f>
        <v>1.15</v>
      </c>
      <c r="X100" s="23" cm="1">
        <f t="array" ref="X100">删MOD取远程属性(X$94,ROWS($J$95:$J100))</f>
        <v>0.15</v>
      </c>
      <c r="Y100" s="42" cm="1">
        <f t="array" ref="Y100">删MOD取远程属性(Y$94,ROWS($J$95:$J100))</f>
        <v>1</v>
      </c>
      <c r="Z100" s="42" cm="1">
        <f t="array" ref="Z100">删MOD取远程属性(Z$94,ROWS($J$95:$J100))</f>
        <v>2.5</v>
      </c>
      <c r="AA100" s="23" cm="1">
        <f t="array" ref="AA100">删MOD取远程属性(AA$94,ROWS($J$95:$J100))</f>
        <v>2.75</v>
      </c>
      <c r="AB100" s="23" cm="1">
        <f t="array" ref="AB100">删MOD取远程属性(AB$94,ROWS($J$95:$J100))</f>
        <v>0</v>
      </c>
      <c r="AC100" s="23" cm="1">
        <f t="array" ref="AC100">删MOD取远程属性(AC$94,ROWS($J$95:$J100))</f>
        <v>0.6</v>
      </c>
      <c r="AV100" t="str">
        <v>乘势</v>
      </c>
    </row>
    <row r="101" spans="1:48">
      <c r="A101" s="68" t="s">
        <v>157</v>
      </c>
      <c r="B101" s="93">
        <f>ROUNDUP(B98,0)</f>
        <v>1</v>
      </c>
      <c r="C101" s="78">
        <f>($C$99-1)*B101+1</f>
        <v>1.15</v>
      </c>
      <c r="D101" s="76">
        <f t="shared" si="7"/>
        <v>-1.53583975047296e-15</v>
      </c>
      <c r="E101" s="69"/>
      <c r="F101" s="93" t="str" cm="1">
        <f t="array" ref="F101">IFERROR(VLOOKUP($E101,_xlfn._xlws.FILTER(武器MOD表[],武器MOD表[类型]=$A$92),MATCH(F$94,武器MOD表[#Headers],0),0),"")</f>
        <v/>
      </c>
      <c r="G101" s="93" t="str" cm="1">
        <f t="array" ref="G101">IFERROR(VLOOKUP($E101,_xlfn._xlws.FILTER(武器MOD表[],武器MOD表[类型]=$A$92),MATCH(G$94,武器MOD表[#Headers],0),0),"")</f>
        <v/>
      </c>
      <c r="H101" s="93" t="str" cm="1">
        <f t="array" ref="H101">IFERROR(VLOOKUP($E101,_xlfn._xlws.FILTER(武器MOD表[],武器MOD表[类型]=$A$92),MATCH(H$94,武器MOD表[#Headers],0),0),"")&amp;""</f>
        <v/>
      </c>
      <c r="I101" s="93" cm="1">
        <f t="array" ref="I101">IF(AND(K101&lt;&gt;"",H101&lt;&gt;""),ROUNDUP(IF(H101=K101,IFERROR(VLOOKUP($E101,_xlfn._xlws.FILTER(武器MOD表[],武器MOD表[类型]=$A$92),7,0)+$J101-IF($G101="金",10,IF($G101="绿",3,5)),0)/2,IFERROR(VLOOKUP($E101,_xlfn._xlws.FILTER(武器MOD表[],武器MOD表[类型]=$A$92),7,0)+$J101-IF($G101="金",10,IF($G101="绿",3,5)),0)*1.5),0),IFERROR(VLOOKUP($E101,_xlfn._xlws.FILTER(武器MOD表[],武器MOD表[类型]=$A$92),7,0)+$J101-IF($G101="金",10,IF($G101="绿",3,5)),0))</f>
        <v>0</v>
      </c>
      <c r="J101" s="106">
        <v>10</v>
      </c>
      <c r="K101" s="69"/>
      <c r="L101" s="68" t="str" cm="1">
        <f t="array" ref="L101">IFERROR(INDEX(武器MOD表[#Headers],SMALL(_xlfn._xlws.FILTER(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,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&lt;&gt;0),ROUNDUP(COLUMNS($L77:L77)/2,0))),"")</f>
        <v/>
      </c>
      <c r="M101" s="78" t="str" cm="1">
        <f t="array" ref="M101">IFERROR(_xlfn.MAP(INDEX(INDEX(武器MOD表[],MATCH(1,(武器MOD表[名称]=$E101)*(武器MOD表[类型]=$A$92),0),),SMALL(_xlfn._xlws.FILTER(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,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&lt;&gt;0),ROUNDUP(COLUMNS($L77:L77)/2,0))),_xlfn.LAMBDA(_xlpm.x,IFERROR(MIN(1,($J101+1)/IF($G101="金",11,IF($G101="绿",4,6)))*_xlpm.x,_xlpm.x))),"")</f>
        <v/>
      </c>
      <c r="N101" s="68" t="str" cm="1">
        <f t="array" ref="N101">IFERROR(INDEX(武器MOD表[#Headers],SMALL(_xlfn._xlws.FILTER(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,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&lt;&gt;0),ROUNDUP(COLUMNS($L77:N77)/2,0))),"")</f>
        <v/>
      </c>
      <c r="O101" s="78" t="str" cm="1">
        <f t="array" ref="O101">IFERROR(_xlfn.MAP(INDEX(INDEX(武器MOD表[],MATCH(1,(武器MOD表[名称]=$E101)*(武器MOD表[类型]=$A$92),0),),SMALL(_xlfn._xlws.FILTER(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,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&lt;&gt;0),ROUNDUP(COLUMNS($L77:N77)/2,0))),_xlfn.LAMBDA(_xlpm.x,IFERROR(MIN(1,($J101+1)/IF($G101="金",11,IF($G101="绿",4,6)))*_xlpm.x,_xlpm.x))),"")</f>
        <v/>
      </c>
      <c r="P101" s="68" t="str" cm="1">
        <f t="array" ref="P101">IFERROR(INDEX(武器MOD表[#Headers],SMALL(_xlfn._xlws.FILTER(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,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&lt;&gt;0),ROUNDUP(COLUMNS($L77:P77)/2,0))),"")</f>
        <v/>
      </c>
      <c r="Q101" s="78" t="str" cm="1">
        <f t="array" ref="Q101">IFERROR(_xlfn.MAP(INDEX(INDEX(武器MOD表[],MATCH(1,(武器MOD表[名称]=$E101)*(武器MOD表[类型]=$A$92),0),),SMALL(_xlfn._xlws.FILTER(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,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&lt;&gt;0),ROUNDUP(COLUMNS($L77:P77)/2,0))),_xlfn.LAMBDA(_xlpm.x,IFERROR(MIN(1,($J101+1)/IF($G101="金",11,IF($G101="绿",4,6)))*_xlpm.x,_xlpm.x))),"")</f>
        <v/>
      </c>
      <c r="R101" s="68" t="str" cm="1">
        <f t="array" ref="R101">IFERROR(INDEX(武器MOD表[#Headers],SMALL(_xlfn._xlws.FILTER(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,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&lt;&gt;0),ROUNDUP(COLUMNS($L77:R77)/2,0))),"")</f>
        <v/>
      </c>
      <c r="S101" s="78" t="str" cm="1">
        <f t="array" ref="S101">IFERROR(_xlfn.MAP(INDEX(INDEX(武器MOD表[],MATCH(1,(武器MOD表[名称]=$E101)*(武器MOD表[类型]=$A$92),0),),SMALL(_xlfn._xlws.FILTER(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,COLUMN(_xlfn.DROP(INDEX(武器MOD表[],MATCH(1,(武器MOD表[名称]=$E101)*(武器MOD表[类型]=$A$92),0),),,MATCH("耐受",武器MOD表[#Headers],0)))*(_xlfn.DROP(INDEX(武器MOD表[],MATCH(1,(武器MOD表[名称]=$E101)*(武器MOD表[类型]=$A$92),0),),,MATCH("耐受",武器MOD表[#Headers],0))&lt;&gt;"")&lt;&gt;0),ROUNDUP(COLUMNS($L77:R77)/2,0))),_xlfn.LAMBDA(_xlpm.x,IFERROR(MIN(1,($J101+1)/IF($G101="金",11,IF($G101="绿",4,6)))*_xlpm.x,_xlpm.x))),"")</f>
        <v/>
      </c>
      <c r="T101" s="20" cm="1">
        <f t="array" ref="T101">远程倍率*触发乘区(远程伤害类型,U101,U101+角色攻击*(1-敌方抗性+属性穿透),X101)*(U101+角色攻击*(1-敌方抗性+属性穿透))*昂扬背水乘区(昂扬,背水)*防御乘区(无视防御)*Y101*Z101/基础远程多重*PRODUCT(AA101:AC101+1)*(1+V101*(W101-1))</f>
        <v>1061187.86486363</v>
      </c>
      <c r="U101" s="20" cm="1">
        <f t="array" ref="U101">删MOD取远程属性(U$94,ROWS($J$95:$J101))*(1+删MOD取远程属性("物理",ROWS($J$95:$J101)))</f>
        <v>188.28</v>
      </c>
      <c r="V101" s="23" cm="1">
        <f t="array" ref="V101">删MOD取远程属性(V$94,ROWS($J$95:$J101))</f>
        <v>0.5375</v>
      </c>
      <c r="W101" s="23" cm="1">
        <f t="array" ref="W101">删MOD取远程属性(W$94,ROWS($J$95:$J101))</f>
        <v>1.15</v>
      </c>
      <c r="X101" s="23" cm="1">
        <f t="array" ref="X101">删MOD取远程属性(X$94,ROWS($J$95:$J101))</f>
        <v>0.15</v>
      </c>
      <c r="Y101" s="42" cm="1">
        <f t="array" ref="Y101">删MOD取远程属性(Y$94,ROWS($J$95:$J101))</f>
        <v>1</v>
      </c>
      <c r="Z101" s="42" cm="1">
        <f t="array" ref="Z101">删MOD取远程属性(Z$94,ROWS($J$95:$J101))</f>
        <v>2.5</v>
      </c>
      <c r="AA101" s="23" cm="1">
        <f t="array" ref="AA101">删MOD取远程属性(AA$94,ROWS($J$95:$J101))</f>
        <v>2.75</v>
      </c>
      <c r="AB101" s="23" cm="1">
        <f t="array" ref="AB101">删MOD取远程属性(AB$94,ROWS($J$95:$J101))</f>
        <v>0</v>
      </c>
      <c r="AC101" s="23" cm="1">
        <f t="array" ref="AC101">删MOD取远程属性(AC$94,ROWS($J$95:$J101))</f>
        <v>0.6</v>
      </c>
      <c r="AV101" t="str">
        <v>不息</v>
      </c>
    </row>
    <row r="102" spans="1:48">
      <c r="A102" s="83" t="s">
        <v>149</v>
      </c>
      <c r="B102" s="78">
        <f>IFERROR(VLOOKUP(远程武器,远程武器表[],MATCH("基础"&amp;A102,远程武器表[#Headers],0),0),"")</f>
        <v>0.15</v>
      </c>
      <c r="C102" s="78" cm="1">
        <f t="array" ref="C102">B102*SUM(1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102,武器MOD表[#Headers],0)))),0),IFERROR(BUFF层数乘数*VLOOKUP(BUFF,BUFF表[],MATCH(A102,BUFF表[#Headers],0),0),0))</f>
        <v>0.15</v>
      </c>
      <c r="D102" s="76">
        <f t="shared" si="7"/>
        <v>-1.53583975047296e-15</v>
      </c>
      <c r="E102" s="69"/>
      <c r="F102" s="93" t="str" cm="1">
        <f t="array" ref="F102">IFERROR(VLOOKUP($E102,_xlfn._xlws.FILTER(武器MOD表[],武器MOD表[类型]=$A$92),MATCH(F$94,武器MOD表[#Headers],0),0),"")</f>
        <v/>
      </c>
      <c r="G102" s="93" t="str" cm="1">
        <f t="array" ref="G102">IFERROR(VLOOKUP($E102,_xlfn._xlws.FILTER(武器MOD表[],武器MOD表[类型]=$A$92),MATCH(G$94,武器MOD表[#Headers],0),0),"")</f>
        <v/>
      </c>
      <c r="H102" s="93" t="str" cm="1">
        <f t="array" ref="H102">IFERROR(VLOOKUP($E102,_xlfn._xlws.FILTER(武器MOD表[],武器MOD表[类型]=$A$92),MATCH(H$94,武器MOD表[#Headers],0),0),"")&amp;""</f>
        <v/>
      </c>
      <c r="I102" s="93" cm="1">
        <f t="array" ref="I102">IF(AND(K102&lt;&gt;"",H102&lt;&gt;""),ROUNDUP(IF(H102=K102,IFERROR(VLOOKUP($E102,_xlfn._xlws.FILTER(武器MOD表[],武器MOD表[类型]=$A$92),7,0)+$J102-IF($G102="金",10,IF($G102="绿",3,5)),0)/2,IFERROR(VLOOKUP($E102,_xlfn._xlws.FILTER(武器MOD表[],武器MOD表[类型]=$A$92),7,0)+$J102-IF($G102="金",10,IF($G102="绿",3,5)),0)*1.5),0),IFERROR(VLOOKUP($E102,_xlfn._xlws.FILTER(武器MOD表[],武器MOD表[类型]=$A$92),7,0)+$J102-IF($G102="金",10,IF($G102="绿",3,5)),0))</f>
        <v>0</v>
      </c>
      <c r="J102" s="106">
        <v>10</v>
      </c>
      <c r="K102" s="69"/>
      <c r="L102" s="68" t="str" cm="1">
        <f t="array" ref="L102">IFERROR(INDEX(武器MOD表[#Headers],SMALL(_xlfn._xlws.FILTER(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,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&lt;&gt;0),ROUNDUP(COLUMNS($L78:L78)/2,0))),"")</f>
        <v/>
      </c>
      <c r="M102" s="78" t="str" cm="1">
        <f t="array" ref="M102">IFERROR(_xlfn.MAP(INDEX(INDEX(武器MOD表[],MATCH(1,(武器MOD表[名称]=$E102)*(武器MOD表[类型]=$A$92),0),),SMALL(_xlfn._xlws.FILTER(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,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&lt;&gt;0),ROUNDUP(COLUMNS($L78:L78)/2,0))),_xlfn.LAMBDA(_xlpm.x,IFERROR(MIN(1,($J102+1)/IF($G102="金",11,IF($G102="绿",4,6)))*_xlpm.x,_xlpm.x))),"")</f>
        <v/>
      </c>
      <c r="N102" s="68" t="str" cm="1">
        <f t="array" ref="N102">IFERROR(INDEX(武器MOD表[#Headers],SMALL(_xlfn._xlws.FILTER(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,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&lt;&gt;0),ROUNDUP(COLUMNS($L78:N78)/2,0))),"")</f>
        <v/>
      </c>
      <c r="O102" s="78" t="str" cm="1">
        <f t="array" ref="O102">IFERROR(_xlfn.MAP(INDEX(INDEX(武器MOD表[],MATCH(1,(武器MOD表[名称]=$E102)*(武器MOD表[类型]=$A$92),0),),SMALL(_xlfn._xlws.FILTER(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,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&lt;&gt;0),ROUNDUP(COLUMNS($L78:N78)/2,0))),_xlfn.LAMBDA(_xlpm.x,IFERROR(MIN(1,($J102+1)/IF($G102="金",11,IF($G102="绿",4,6)))*_xlpm.x,_xlpm.x))),"")</f>
        <v/>
      </c>
      <c r="P102" s="68" t="str" cm="1">
        <f t="array" ref="P102">IFERROR(INDEX(武器MOD表[#Headers],SMALL(_xlfn._xlws.FILTER(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,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&lt;&gt;0),ROUNDUP(COLUMNS($L78:P78)/2,0))),"")</f>
        <v/>
      </c>
      <c r="Q102" s="78" t="str" cm="1">
        <f t="array" ref="Q102">IFERROR(_xlfn.MAP(INDEX(INDEX(武器MOD表[],MATCH(1,(武器MOD表[名称]=$E102)*(武器MOD表[类型]=$A$92),0),),SMALL(_xlfn._xlws.FILTER(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,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&lt;&gt;0),ROUNDUP(COLUMNS($L78:P78)/2,0))),_xlfn.LAMBDA(_xlpm.x,IFERROR(MIN(1,($J102+1)/IF($G102="金",11,IF($G102="绿",4,6)))*_xlpm.x,_xlpm.x))),"")</f>
        <v/>
      </c>
      <c r="R102" s="68" t="str" cm="1">
        <f t="array" ref="R102">IFERROR(INDEX(武器MOD表[#Headers],SMALL(_xlfn._xlws.FILTER(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,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&lt;&gt;0),ROUNDUP(COLUMNS($L78:R78)/2,0))),"")</f>
        <v/>
      </c>
      <c r="S102" s="78" t="str" cm="1">
        <f t="array" ref="S102">IFERROR(_xlfn.MAP(INDEX(INDEX(武器MOD表[],MATCH(1,(武器MOD表[名称]=$E102)*(武器MOD表[类型]=$A$92),0),),SMALL(_xlfn._xlws.FILTER(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,COLUMN(_xlfn.DROP(INDEX(武器MOD表[],MATCH(1,(武器MOD表[名称]=$E102)*(武器MOD表[类型]=$A$92),0),),,MATCH("耐受",武器MOD表[#Headers],0)))*(_xlfn.DROP(INDEX(武器MOD表[],MATCH(1,(武器MOD表[名称]=$E102)*(武器MOD表[类型]=$A$92),0),),,MATCH("耐受",武器MOD表[#Headers],0))&lt;&gt;"")&lt;&gt;0),ROUNDUP(COLUMNS($L78:R78)/2,0))),_xlfn.LAMBDA(_xlpm.x,IFERROR(MIN(1,($J102+1)/IF($G102="金",11,IF($G102="绿",4,6)))*_xlpm.x,_xlpm.x))),"")</f>
        <v/>
      </c>
      <c r="T102" s="20" cm="1">
        <f t="array" ref="T102">远程倍率*触发乘区(远程伤害类型,U102,U102+角色攻击*(1-敌方抗性+属性穿透),X102)*(U102+角色攻击*(1-敌方抗性+属性穿透))*昂扬背水乘区(昂扬,背水)*防御乘区(无视防御)*Y102*Z102/基础远程多重*PRODUCT(AA102:AC102+1)*(1+V102*(W102-1))</f>
        <v>1061187.86486363</v>
      </c>
      <c r="U102" s="20" cm="1">
        <f t="array" ref="U102">删MOD取远程属性(U$94,ROWS($J$95:$J102))*(1+删MOD取远程属性("物理",ROWS($J$95:$J102)))</f>
        <v>188.28</v>
      </c>
      <c r="V102" s="23" cm="1">
        <f t="array" ref="V102">删MOD取远程属性(V$94,ROWS($J$95:$J102))</f>
        <v>0.5375</v>
      </c>
      <c r="W102" s="23" cm="1">
        <f t="array" ref="W102">删MOD取远程属性(W$94,ROWS($J$95:$J102))</f>
        <v>1.15</v>
      </c>
      <c r="X102" s="23" cm="1">
        <f t="array" ref="X102">删MOD取远程属性(X$94,ROWS($J$95:$J102))</f>
        <v>0.15</v>
      </c>
      <c r="Y102" s="42" cm="1">
        <f t="array" ref="Y102">删MOD取远程属性(Y$94,ROWS($J$95:$J102))</f>
        <v>1</v>
      </c>
      <c r="Z102" s="42" cm="1">
        <f t="array" ref="Z102">删MOD取远程属性(Z$94,ROWS($J$95:$J102))</f>
        <v>2.5</v>
      </c>
      <c r="AA102" s="23" cm="1">
        <f t="array" ref="AA102">删MOD取远程属性(AA$94,ROWS($J$95:$J102))</f>
        <v>2.75</v>
      </c>
      <c r="AB102" s="23" cm="1">
        <f t="array" ref="AB102">删MOD取远程属性(AB$94,ROWS($J$95:$J102))</f>
        <v>0</v>
      </c>
      <c r="AC102" s="23" cm="1">
        <f t="array" ref="AC102">删MOD取远程属性(AC$94,ROWS($J$95:$J102))</f>
        <v>0.6</v>
      </c>
      <c r="AV102" t="str">
        <v>凛风·燎原</v>
      </c>
    </row>
    <row r="103" spans="1:48">
      <c r="A103" s="68" t="s">
        <v>150</v>
      </c>
      <c r="B103" s="93" cm="1">
        <f t="array" ref="B103">IFERROR(INDEX(远程倍率表[射速],MATCH(1,(远程倍率表[武器类型]=B94)*(远程倍率表[名称]=B106),0)),1)</f>
        <v>1</v>
      </c>
      <c r="C103" s="93" cm="1">
        <f t="array" ref="C103">B103*SUM(1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103,武器MOD表[#Headers],0)))),0),IFERROR(BUFF层数乘数*VLOOKUP(BUFF,BUFF表[],MATCH(A103,BUFF表[#Headers],0),0),0))</f>
        <v>1</v>
      </c>
      <c r="D103" s="79" cm="1">
        <f t="array" ref="D103">PRODUCT(D95:D102+1)-1</f>
        <v>1.49999999999997</v>
      </c>
      <c r="E103" s="68" t="s">
        <v>50</v>
      </c>
      <c r="F103" s="149" t="str">
        <f>SUM(I95:I102)&amp;"/100"</f>
        <v>20/100</v>
      </c>
      <c r="G103" s="150"/>
      <c r="H103" s="150"/>
      <c r="I103" s="158"/>
      <c r="J103" s="68" t="s">
        <v>86</v>
      </c>
      <c r="K103" s="159">
        <f>LEN(_xlfn.CONCAT(K95:K102))</f>
        <v>0</v>
      </c>
      <c r="AV103" t="str">
        <v>凛风·极昼</v>
      </c>
    </row>
    <row r="104" customFormat="1" spans="1:48">
      <c r="A104" s="68" t="s">
        <v>172</v>
      </c>
      <c r="B104" s="93" cm="1">
        <f t="array" ref="B104">IFERROR(INDEX(远程倍率表[弹片数],MATCH(1,(远程倍率表[武器类型]=B94)*(远程倍率表[名称]=B106),0)),1)</f>
        <v>1</v>
      </c>
      <c r="C104" s="93" cm="1">
        <f t="array" ref="C104">B104*SUM(1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104,武器MOD表[#Headers],0)))),0),IFERROR(BUFF层数乘数*VLOOKUP(BUFF,BUFF表[],MATCH(A104,BUFF表[#Headers],0),0),0))</f>
        <v>2.5</v>
      </c>
      <c r="D104" s="80" t="s">
        <v>89</v>
      </c>
      <c r="E104" s="98" t="str" cm="1">
        <f ca="1" t="array" ref="E104">_xlfn.TEXTJOIN("",1,"W",IFERROR(INDEX(代码表[代码],MATCH(远程武器,代码表[名称],0),0),"0000"),_xlfn.MAP(_xlfn.MAP({1,4,2,3,5,8,6,7},_xlfn.LAMBDA(_xlpm.x,ADDRESS(ROW()-10+_xlpm.x,COLUMN()))),_xlfn.LAMBDA(_xlpm.x,IFERROR(INDEX(#REF!,MATCH(1,((代码表[类型]=B94)+(代码表[类型]=A92))*((代码表[品质]=OFFSET(INDIRECT(_xlpm.x),0,2))+(OFFSET(INDIRECT(_xlpm.x),0,2)=""))*(代码表[名称]=IF(ISNUMBER(FIND("(",INDIRECT(_xlpm.x))),LEFT(INDIRECT(_xlpm.x),FIND("(",INDIRECT(_xlpm.x))-1),INDIRECT(_xlpm.x))),0),MATCH("代码",代码表[#Headers],0)),"0000"))))</f>
        <v>W0FIE00000000000000000000000000000000</v>
      </c>
      <c r="F104" s="99"/>
      <c r="G104" s="99"/>
      <c r="H104" s="99"/>
      <c r="I104" s="99"/>
      <c r="J104" s="99"/>
      <c r="K104" s="99"/>
      <c r="L104" s="99"/>
      <c r="M104" s="110"/>
      <c r="AV104" t="str">
        <v>炽灼·决断</v>
      </c>
    </row>
    <row r="105" spans="1:48">
      <c r="A105" s="68" t="s">
        <v>159</v>
      </c>
      <c r="B105" s="75">
        <f>B97+$C$7</f>
        <v>6284.96763763837</v>
      </c>
      <c r="C105" s="75">
        <f>C97+$C$7</f>
        <v>6284.96763763837</v>
      </c>
      <c r="D105" s="81" t="s">
        <v>161</v>
      </c>
      <c r="E105" s="81"/>
      <c r="F105" s="81"/>
      <c r="G105" s="81"/>
      <c r="H105" s="81"/>
      <c r="I105" s="81"/>
      <c r="J105" s="81"/>
      <c r="K105" s="81"/>
      <c r="L105" s="81"/>
      <c r="M105" s="81"/>
      <c r="V105" s="2"/>
      <c r="W105" s="2"/>
      <c r="X105" s="2"/>
      <c r="AV105" t="str">
        <v>羽翼·永恒</v>
      </c>
    </row>
    <row r="106" spans="1:48">
      <c r="A106" s="68" t="s">
        <v>100</v>
      </c>
      <c r="B106" s="85" t="s">
        <v>175</v>
      </c>
      <c r="C106" s="161" cm="1">
        <f t="array" ref="C106">IFERROR(INDEX(远程倍率表[倍率],MATCH(1,(远程倍率表[武器类型]=B94)*(远程倍率表[名称]=B106)*ISNUMBER(FIND(B92,远程倍率表[武器名称])),0)),1)</f>
        <v>0.71</v>
      </c>
      <c r="D106" s="82" t="s">
        <v>45</v>
      </c>
      <c r="E106" s="18" t="s">
        <v>46</v>
      </c>
      <c r="F106" s="105" t="s">
        <v>53</v>
      </c>
      <c r="G106" s="105"/>
      <c r="H106" s="105" t="s">
        <v>54</v>
      </c>
      <c r="I106" s="105"/>
      <c r="J106" s="105" t="s">
        <v>55</v>
      </c>
      <c r="K106" s="105"/>
      <c r="L106" s="105" t="s">
        <v>56</v>
      </c>
      <c r="M106" s="105"/>
      <c r="N106" s="105" t="s">
        <v>92</v>
      </c>
      <c r="O106" s="105"/>
      <c r="P106" s="105"/>
      <c r="Q106" s="105"/>
      <c r="R106" s="105"/>
      <c r="S106" s="105"/>
      <c r="T106" s="20" t="s">
        <v>57</v>
      </c>
      <c r="U106" s="20" t="s">
        <v>164</v>
      </c>
      <c r="V106" s="20" t="s">
        <v>58</v>
      </c>
      <c r="W106" s="20" t="s">
        <v>147</v>
      </c>
      <c r="X106" s="20" t="s">
        <v>148</v>
      </c>
      <c r="Y106" s="20" t="s">
        <v>149</v>
      </c>
      <c r="Z106" s="20" t="s">
        <v>150</v>
      </c>
      <c r="AA106" s="20" t="s">
        <v>172</v>
      </c>
      <c r="AB106" s="18" t="s">
        <v>67</v>
      </c>
      <c r="AC106" s="18" t="s">
        <v>70</v>
      </c>
      <c r="AD106" s="18" t="s">
        <v>151</v>
      </c>
      <c r="AE106" s="20" t="s">
        <v>65</v>
      </c>
      <c r="AF106" s="20" t="s">
        <v>66</v>
      </c>
      <c r="AG106" s="18" t="s">
        <v>69</v>
      </c>
      <c r="AH106" s="18" t="s">
        <v>71</v>
      </c>
      <c r="AV106" t="str">
        <v>炽灼·背水</v>
      </c>
    </row>
    <row r="107" spans="1:48">
      <c r="A107" s="68" t="s">
        <v>67</v>
      </c>
      <c r="B107" s="78">
        <f>$C$18+$C$20</f>
        <v>2.75</v>
      </c>
      <c r="C107" s="78" cm="1">
        <f t="array" ref="C107">B107+SUM(IFERROR(_xlfn.MAP(($J$95:$J$102+1)/IF($G$95:$G$102="金",11,IF($G$95:$G$102="绿",4,6)),_xlfn.LAMBDA(_xlpm.a,IF(_xlpm.a&gt;1,1,_xlpm.a)))*INDEX(_xlfn._xlws.FILTER(武器MOD表[],ISNUMBER(MATCH(武器MOD表[名称],$E$95:$E$102,0))*(武器MOD表[类型]=$A$92)),,MATCH(A107,武器MOD表[#Headers],0)),0))</f>
        <v>2.75</v>
      </c>
      <c r="D107" s="76">
        <f>(E$113-T107)/T107</f>
        <v>0.026722090261281</v>
      </c>
      <c r="E107" s="69" t="s">
        <v>109</v>
      </c>
      <c r="F107" s="102" t="str">
        <f ca="1">IFERROR(OFFSET($E$19,MATCH($E107,BUFF,0)-1,COLUMNS($F107:F107)+1),"")</f>
        <v>暴击</v>
      </c>
      <c r="G107" s="103">
        <f ca="1">IFERROR(OFFSET($E$19,MATCH($E107,BUFF,0)-1,COLUMNS($F107:G107)+1),"")</f>
        <v>0.75</v>
      </c>
      <c r="H107" s="102" t="str">
        <f ca="1">IFERROR(OFFSET($E$19,MATCH($E107,BUFF,0)-1,COLUMNS($F107:H107)+1),"")</f>
        <v/>
      </c>
      <c r="I107" s="103" t="str">
        <f ca="1">IFERROR(OFFSET($E$19,MATCH($E107,BUFF,0)-1,COLUMNS($F107:I107)+1),"")</f>
        <v/>
      </c>
      <c r="J107" s="102" t="str">
        <f ca="1">IFERROR(OFFSET($E$19,MATCH($E107,BUFF,0)-1,COLUMNS($F107:J107)+1),"")</f>
        <v/>
      </c>
      <c r="K107" s="103" t="str">
        <f ca="1">IFERROR(OFFSET($E$19,MATCH($E107,BUFF,0)-1,COLUMNS($F107:K107)+1),"")</f>
        <v/>
      </c>
      <c r="L107" s="102" t="str">
        <f ca="1">IFERROR(OFFSET($E$19,MATCH($E107,BUFF,0)-1,COLUMNS($F107:L107)+1),"")</f>
        <v/>
      </c>
      <c r="M107" s="103" t="str">
        <f ca="1">IFERROR(OFFSET($E$19,MATCH($E107,BUFF,0)-1,COLUMNS($F107:M107)+1),"")</f>
        <v/>
      </c>
      <c r="N107" s="105" t="str">
        <f>IFERROR(VLOOKUP(E107,BUFF表[],MATCH("描述",BUFF表[#Headers],0),0),"")</f>
        <v>光属性角色周围的敌人受到武器伤害时，暴击率提高60%，对带有额外效果负面状态的目标额外提高15%。</v>
      </c>
      <c r="O107" s="105"/>
      <c r="P107" s="105"/>
      <c r="Q107" s="105"/>
      <c r="R107" s="105"/>
      <c r="S107" s="105"/>
      <c r="T107" s="20" cm="1">
        <f t="array" ref="T107">远程倍率*触发乘区(远程伤害类型,V107,U107+V107,Y107)*(V107+U107*(1-敌方抗性+AG107))*昂扬背水乘区(AE107,AF107)*防御乘区(AH107)*Z107*AA107/基础远程多重*PRODUCT(AB107:AD107+1)*(1+W107*(X107-1))</f>
        <v>1033568.74750165</v>
      </c>
      <c r="U107" s="20" cm="1">
        <f t="array" ref="U107">删BUFF取角色属性(V$106,MATCH($E107,BUFF,0))*(1+删BUFF取角色属性("属性伤",MATCH($E107,BUFF,0)))</f>
        <v>6096.68763763837</v>
      </c>
      <c r="V107" s="20" cm="1">
        <f t="array" ref="V107">删BUFF取远程属性(V$106,MATCH($E107,BUFF,0))*(1+删BUFF取远程属性("物理",MATCH($E107,BUFF,0)))</f>
        <v>188.28</v>
      </c>
      <c r="W107" s="23" cm="1">
        <f t="array" ref="W107">删BUFF取远程属性(W$106,MATCH($E107,BUFF,0))</f>
        <v>0.35</v>
      </c>
      <c r="X107" s="23" cm="1">
        <f t="array" ref="X107">删BUFF取远程属性(X$106,MATCH($E107,BUFF,0))</f>
        <v>1.15</v>
      </c>
      <c r="Y107" s="23" cm="1">
        <f t="array" ref="Y107">删BUFF取远程属性(Y$106,MATCH($E107,BUFF,0))</f>
        <v>0.15</v>
      </c>
      <c r="Z107" s="42" cm="1">
        <f t="array" ref="Z107">删BUFF取远程属性(Z$106,MATCH($E107,BUFF,0))</f>
        <v>1</v>
      </c>
      <c r="AA107" s="42" cm="1">
        <f t="array" ref="AA107">删BUFF取远程属性(AA$106,MATCH($E107,BUFF,0))</f>
        <v>2.5</v>
      </c>
      <c r="AB107" s="23" cm="1">
        <f t="array" ref="AB107">删BUFF取远程属性(AB$106,MATCH($E107,BUFF,0))</f>
        <v>2.75</v>
      </c>
      <c r="AC107" s="23" cm="1">
        <f t="array" ref="AC107">删BUFF取远程属性(AC$106,MATCH($E107,BUFF,0))</f>
        <v>0</v>
      </c>
      <c r="AD107" s="23" cm="1">
        <f t="array" ref="AD107">删BUFF取远程属性(AD$106,MATCH($E107,BUFF,0))</f>
        <v>0.6</v>
      </c>
      <c r="AE107" s="23" cm="1">
        <f t="array" ref="AE107">删BUFF取远程属性(AE$106,MATCH($E107,BUFF,0))</f>
        <v>0</v>
      </c>
      <c r="AF107" s="23" cm="1">
        <f t="array" ref="AF107">删BUFF取远程属性(AF$106,MATCH($E107,BUFF,0))</f>
        <v>0.83008</v>
      </c>
      <c r="AG107" s="23" cm="1">
        <f t="array" ref="AG107">删BUFF取远程属性(AG$106,MATCH($E107,BUFF,0))</f>
        <v>0.24</v>
      </c>
      <c r="AH107" s="23" cm="1">
        <f t="array" ref="AH107">删BUFF取远程属性(AH$106,MATCH($E107,BUFF,0))</f>
        <v>0</v>
      </c>
      <c r="AV107" t="str">
        <v>炽灼·坚守</v>
      </c>
    </row>
    <row r="108" spans="1:48">
      <c r="A108" s="68" t="s">
        <v>70</v>
      </c>
      <c r="B108" s="78">
        <f>$C$19</f>
        <v>0</v>
      </c>
      <c r="C108" s="78" cm="1">
        <f t="array" ref="C108">PRODUCT(B108+1,IFERROR(_xlfn.MAP(($J$95:$J$102+1)/IF($G$95:$G$102="金",11,IF($G$95:$G$102="绿",4,6)),_xlfn.LAMBDA(_xlpm.a,IF(_xlpm.a&gt;1,1,_xlpm.a)))*INDEX(_xlfn._xlws.FILTER(武器MOD表[],ISNUMBER(MATCH(武器MOD表[名称],$E$95:$E$102,0))*(武器MOD表[类型]=$A$92)),,MATCH(A108,武器MOD表[#Headers],0)),0)+1)-1</f>
        <v>0</v>
      </c>
      <c r="D108" s="76">
        <f t="shared" ref="D108:D110" si="8">(E$113-T108)/T108</f>
        <v>-1.53583975047296e-15</v>
      </c>
      <c r="E108" s="69"/>
      <c r="F108" s="102" t="str">
        <f ca="1">IFERROR(OFFSET($E$19,MATCH($E108,BUFF,0)-1,COLUMNS($F108:F108)+1),"")</f>
        <v/>
      </c>
      <c r="G108" s="103" t="str">
        <f ca="1">IFERROR(OFFSET($E$19,MATCH($E108,BUFF,0)-1,COLUMNS($F108:G108)+1),"")</f>
        <v/>
      </c>
      <c r="H108" s="102" t="str">
        <f ca="1">IFERROR(OFFSET($E$19,MATCH($E108,BUFF,0)-1,COLUMNS($F108:H108)+1),"")</f>
        <v/>
      </c>
      <c r="I108" s="103" t="str">
        <f ca="1">IFERROR(OFFSET($E$19,MATCH($E108,BUFF,0)-1,COLUMNS($F108:I108)+1),"")</f>
        <v/>
      </c>
      <c r="J108" s="102" t="str">
        <f ca="1">IFERROR(OFFSET($E$19,MATCH($E108,BUFF,0)-1,COLUMNS($F108:J108)+1),"")</f>
        <v/>
      </c>
      <c r="K108" s="103" t="str">
        <f ca="1">IFERROR(OFFSET($E$19,MATCH($E108,BUFF,0)-1,COLUMNS($F108:K108)+1),"")</f>
        <v/>
      </c>
      <c r="L108" s="102" t="str">
        <f ca="1">IFERROR(OFFSET($E$19,MATCH($E108,BUFF,0)-1,COLUMNS($F108:L108)+1),"")</f>
        <v/>
      </c>
      <c r="M108" s="103" t="str">
        <f ca="1">IFERROR(OFFSET($E$19,MATCH($E108,BUFF,0)-1,COLUMNS($F108:M108)+1),"")</f>
        <v/>
      </c>
      <c r="N108" s="105" t="str">
        <f>IFERROR(VLOOKUP(E108,BUFF表[],MATCH("描述",BUFF表[#Headers],0),0),"")</f>
        <v/>
      </c>
      <c r="O108" s="105"/>
      <c r="P108" s="105"/>
      <c r="Q108" s="105"/>
      <c r="R108" s="105"/>
      <c r="S108" s="105"/>
      <c r="T108" s="20" cm="1">
        <f t="array" ref="T108">远程倍率*触发乘区(远程伤害类型,V108,U108+V108,Y108)*(V108+U108*(1-敌方抗性+AG108))*昂扬背水乘区(AE108,AF108)*防御乘区(AH108)*Z108*AA108/基础远程多重*PRODUCT(AB108:AD108+1)*(1+W108*(X108-1))</f>
        <v>1061187.86486363</v>
      </c>
      <c r="U108" s="20" cm="1">
        <f t="array" ref="U108">删BUFF取角色属性(V$106,MATCH($E108,BUFF,0))*(1+删BUFF取角色属性("属性伤",MATCH($E108,BUFF,0)))</f>
        <v>6096.68763763837</v>
      </c>
      <c r="V108" s="20" cm="1">
        <f t="array" ref="V108">删BUFF取远程属性(V$106,MATCH($E108,BUFF,0))*(1+删BUFF取远程属性("物理",MATCH($E108,BUFF,0)))</f>
        <v>188.28</v>
      </c>
      <c r="W108" s="23" cm="1">
        <f t="array" ref="W108">删BUFF取远程属性(W$106,MATCH($E108,BUFF,0))</f>
        <v>0.5375</v>
      </c>
      <c r="X108" s="23" cm="1">
        <f t="array" ref="X108">删BUFF取远程属性(X$106,MATCH($E108,BUFF,0))</f>
        <v>1.15</v>
      </c>
      <c r="Y108" s="23" cm="1">
        <f t="array" ref="Y108">删BUFF取远程属性(Y$106,MATCH($E108,BUFF,0))</f>
        <v>0.15</v>
      </c>
      <c r="Z108" s="42" cm="1">
        <f t="array" ref="Z108">删BUFF取远程属性(Z$106,MATCH($E108,BUFF,0))</f>
        <v>1</v>
      </c>
      <c r="AA108" s="42" cm="1">
        <f t="array" ref="AA108">删BUFF取远程属性(AA$106,MATCH($E108,BUFF,0))</f>
        <v>2.5</v>
      </c>
      <c r="AB108" s="23" cm="1">
        <f t="array" ref="AB108">删BUFF取远程属性(AB$106,MATCH($E108,BUFF,0))</f>
        <v>2.75</v>
      </c>
      <c r="AC108" s="23" cm="1">
        <f t="array" ref="AC108">删BUFF取远程属性(AC$106,MATCH($E108,BUFF,0))</f>
        <v>0</v>
      </c>
      <c r="AD108" s="23" cm="1">
        <f t="array" ref="AD108">删BUFF取远程属性(AD$106,MATCH($E108,BUFF,0))</f>
        <v>0.6</v>
      </c>
      <c r="AE108" s="23" cm="1">
        <f t="array" ref="AE108">删BUFF取远程属性(AE$106,MATCH($E108,BUFF,0))</f>
        <v>0</v>
      </c>
      <c r="AF108" s="23" cm="1">
        <f t="array" ref="AF108">删BUFF取远程属性(AF$106,MATCH($E108,BUFF,0))</f>
        <v>0.83008</v>
      </c>
      <c r="AG108" s="23" cm="1">
        <f t="array" ref="AG108">删BUFF取远程属性(AG$106,MATCH($E108,BUFF,0))</f>
        <v>0.24</v>
      </c>
      <c r="AH108" s="23" cm="1">
        <f t="array" ref="AH108">删BUFF取远程属性(AH$106,MATCH($E108,BUFF,0))</f>
        <v>0</v>
      </c>
      <c r="AV108" t="str">
        <v>锋芒单手剑</v>
      </c>
    </row>
    <row r="109" spans="1:48">
      <c r="A109" s="68" t="s">
        <v>151</v>
      </c>
      <c r="B109" s="78">
        <v>0</v>
      </c>
      <c r="C109" s="78" cm="1">
        <f t="array" ref="C109">SUM(B109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BUFF层数乘数*VLOOKUP(BUFF,BUFF表[],MATCH("MOD属性",BUFF表[#Headers],0),0),0)),1)))*VLOOKUP(角色MOD,角色MOD表[],MATCH(AD$106,角色MOD表[#Headers],0),0),0)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D$106,武器MOD表[#Headers],0)))),0),IFERROR(BUFF层数乘数*VLOOKUP(BUFF,BUFF表[],MATCH(A109,BUFF表[#Headers],0),0),0))</f>
        <v>0.6</v>
      </c>
      <c r="D109" s="76">
        <f t="shared" si="8"/>
        <v>-1.53583975047296e-15</v>
      </c>
      <c r="E109" s="69"/>
      <c r="F109" s="102" t="str">
        <f ca="1">IFERROR(OFFSET($E$19,MATCH($E109,BUFF,0)-1,COLUMNS($F109:F109)+1),"")</f>
        <v/>
      </c>
      <c r="G109" s="103" t="str">
        <f ca="1">IFERROR(OFFSET($E$19,MATCH($E109,BUFF,0)-1,COLUMNS($F109:G109)+1),"")</f>
        <v/>
      </c>
      <c r="H109" s="102" t="str">
        <f ca="1">IFERROR(OFFSET($E$19,MATCH($E109,BUFF,0)-1,COLUMNS($F109:H109)+1),"")</f>
        <v/>
      </c>
      <c r="I109" s="103" t="str">
        <f ca="1">IFERROR(OFFSET($E$19,MATCH($E109,BUFF,0)-1,COLUMNS($F109:I109)+1),"")</f>
        <v/>
      </c>
      <c r="J109" s="102" t="str">
        <f ca="1">IFERROR(OFFSET($E$19,MATCH($E109,BUFF,0)-1,COLUMNS($F109:J109)+1),"")</f>
        <v/>
      </c>
      <c r="K109" s="103" t="str">
        <f ca="1">IFERROR(OFFSET($E$19,MATCH($E109,BUFF,0)-1,COLUMNS($F109:K109)+1),"")</f>
        <v/>
      </c>
      <c r="L109" s="102" t="str">
        <f ca="1">IFERROR(OFFSET($E$19,MATCH($E109,BUFF,0)-1,COLUMNS($F109:L109)+1),"")</f>
        <v/>
      </c>
      <c r="M109" s="103" t="str">
        <f ca="1">IFERROR(OFFSET($E$19,MATCH($E109,BUFF,0)-1,COLUMNS($F109:M109)+1),"")</f>
        <v/>
      </c>
      <c r="N109" s="105" t="str">
        <f>IFERROR(VLOOKUP(E109,BUFF表[],MATCH("描述",BUFF表[#Headers],0),0),"")</f>
        <v/>
      </c>
      <c r="O109" s="105"/>
      <c r="P109" s="105"/>
      <c r="Q109" s="105"/>
      <c r="R109" s="105"/>
      <c r="S109" s="105"/>
      <c r="T109" s="20" cm="1">
        <f t="array" ref="T109">远程倍率*触发乘区(远程伤害类型,V109,U109+V109,Y109)*(V109+U109*(1-敌方抗性+AG109))*昂扬背水乘区(AE109,AF109)*防御乘区(AH109)*Z109*AA109/基础远程多重*PRODUCT(AB109:AD109+1)*(1+W109*(X109-1))</f>
        <v>1061187.86486363</v>
      </c>
      <c r="U109" s="20" cm="1">
        <f t="array" ref="U109">删BUFF取角色属性(V$106,MATCH($E109,BUFF,0))*(1+删BUFF取角色属性("属性伤",MATCH($E109,BUFF,0)))</f>
        <v>6096.68763763837</v>
      </c>
      <c r="V109" s="20" cm="1">
        <f t="array" ref="V109">删BUFF取远程属性(V$106,MATCH($E109,BUFF,0))*(1+删BUFF取远程属性("物理",MATCH($E109,BUFF,0)))</f>
        <v>188.28</v>
      </c>
      <c r="W109" s="23" cm="1">
        <f t="array" ref="W109">删BUFF取远程属性(W$106,MATCH($E109,BUFF,0))</f>
        <v>0.5375</v>
      </c>
      <c r="X109" s="23" cm="1">
        <f t="array" ref="X109">删BUFF取远程属性(X$106,MATCH($E109,BUFF,0))</f>
        <v>1.15</v>
      </c>
      <c r="Y109" s="23" cm="1">
        <f t="array" ref="Y109">删BUFF取远程属性(Y$106,MATCH($E109,BUFF,0))</f>
        <v>0.15</v>
      </c>
      <c r="Z109" s="42" cm="1">
        <f t="array" ref="Z109">删BUFF取远程属性(Z$106,MATCH($E109,BUFF,0))</f>
        <v>1</v>
      </c>
      <c r="AA109" s="42" cm="1">
        <f t="array" ref="AA109">删BUFF取远程属性(AA$106,MATCH($E109,BUFF,0))</f>
        <v>2.5</v>
      </c>
      <c r="AB109" s="23" cm="1">
        <f t="array" ref="AB109">删BUFF取远程属性(AB$106,MATCH($E109,BUFF,0))</f>
        <v>2.75</v>
      </c>
      <c r="AC109" s="23" cm="1">
        <f t="array" ref="AC109">删BUFF取远程属性(AC$106,MATCH($E109,BUFF,0))</f>
        <v>0</v>
      </c>
      <c r="AD109" s="23" cm="1">
        <f t="array" ref="AD109">删BUFF取远程属性(AD$106,MATCH($E109,BUFF,0))</f>
        <v>0.6</v>
      </c>
      <c r="AE109" s="23" cm="1">
        <f t="array" ref="AE109">删BUFF取远程属性(AE$106,MATCH($E109,BUFF,0))</f>
        <v>0</v>
      </c>
      <c r="AF109" s="23" cm="1">
        <f t="array" ref="AF109">删BUFF取远程属性(AF$106,MATCH($E109,BUFF,0))</f>
        <v>0.83008</v>
      </c>
      <c r="AG109" s="23" cm="1">
        <f t="array" ref="AG109">删BUFF取远程属性(AG$106,MATCH($E109,BUFF,0))</f>
        <v>0.24</v>
      </c>
      <c r="AH109" s="23" cm="1">
        <f t="array" ref="AH109">删BUFF取远程属性(AH$106,MATCH($E109,BUFF,0))</f>
        <v>0</v>
      </c>
      <c r="AV109" t="str">
        <v>锋芒长柄</v>
      </c>
    </row>
    <row r="110" spans="4:48">
      <c r="D110" s="76">
        <f t="shared" si="8"/>
        <v>-1.53583975047296e-15</v>
      </c>
      <c r="E110" s="69"/>
      <c r="F110" s="102" t="str">
        <f ca="1">IFERROR(OFFSET($E$19,MATCH($E110,BUFF,0)-1,COLUMNS($F110:F110)+1),"")</f>
        <v/>
      </c>
      <c r="G110" s="103" t="str">
        <f ca="1">IFERROR(OFFSET($E$19,MATCH($E110,BUFF,0)-1,COLUMNS($F110:G110)+1),"")</f>
        <v/>
      </c>
      <c r="H110" s="102" t="str">
        <f ca="1">IFERROR(OFFSET($E$19,MATCH($E110,BUFF,0)-1,COLUMNS($F110:H110)+1),"")</f>
        <v/>
      </c>
      <c r="I110" s="103" t="str">
        <f ca="1">IFERROR(OFFSET($E$19,MATCH($E110,BUFF,0)-1,COLUMNS($F110:I110)+1),"")</f>
        <v/>
      </c>
      <c r="J110" s="102" t="str">
        <f ca="1">IFERROR(OFFSET($E$19,MATCH($E110,BUFF,0)-1,COLUMNS($F110:J110)+1),"")</f>
        <v/>
      </c>
      <c r="K110" s="103" t="str">
        <f ca="1">IFERROR(OFFSET($E$19,MATCH($E110,BUFF,0)-1,COLUMNS($F110:K110)+1),"")</f>
        <v/>
      </c>
      <c r="L110" s="102" t="str">
        <f ca="1">IFERROR(OFFSET($E$19,MATCH($E110,BUFF,0)-1,COLUMNS($F110:L110)+1),"")</f>
        <v/>
      </c>
      <c r="M110" s="103" t="str">
        <f ca="1">IFERROR(OFFSET($E$19,MATCH($E110,BUFF,0)-1,COLUMNS($F110:M110)+1),"")</f>
        <v/>
      </c>
      <c r="N110" s="105" t="str">
        <f>IFERROR(VLOOKUP(E110,BUFF表[],MATCH("描述",BUFF表[#Headers],0),0),"")</f>
        <v/>
      </c>
      <c r="O110" s="105"/>
      <c r="P110" s="105"/>
      <c r="Q110" s="105"/>
      <c r="R110" s="105"/>
      <c r="S110" s="105"/>
      <c r="T110" s="20" cm="1">
        <f t="array" ref="T110">远程倍率*触发乘区(远程伤害类型,V110,U110+V110,Y110)*(V110+U110*(1-敌方抗性+AG110))*昂扬背水乘区(AE110,AF110)*防御乘区(AH110)*Z110*AA110/基础远程多重*PRODUCT(AB110:AD110+1)*(1+W110*(X110-1))</f>
        <v>1061187.86486363</v>
      </c>
      <c r="U110" s="20" cm="1">
        <f t="array" ref="U110">删BUFF取角色属性(V$106,MATCH($E110,BUFF,0))*(1+删BUFF取角色属性("属性伤",MATCH($E110,BUFF,0)))</f>
        <v>6096.68763763837</v>
      </c>
      <c r="V110" s="20" cm="1">
        <f t="array" ref="V110">删BUFF取远程属性(V$106,MATCH($E110,BUFF,0))*(1+删BUFF取远程属性("物理",MATCH($E110,BUFF,0)))</f>
        <v>188.28</v>
      </c>
      <c r="W110" s="23" cm="1">
        <f t="array" ref="W110">删BUFF取远程属性(W$106,MATCH($E110,BUFF,0))</f>
        <v>0.5375</v>
      </c>
      <c r="X110" s="23" cm="1">
        <f t="array" ref="X110">删BUFF取远程属性(X$106,MATCH($E110,BUFF,0))</f>
        <v>1.15</v>
      </c>
      <c r="Y110" s="23" cm="1">
        <f t="array" ref="Y110">删BUFF取远程属性(Y$106,MATCH($E110,BUFF,0))</f>
        <v>0.15</v>
      </c>
      <c r="Z110" s="42" cm="1">
        <f t="array" ref="Z110">删BUFF取远程属性(Z$106,MATCH($E110,BUFF,0))</f>
        <v>1</v>
      </c>
      <c r="AA110" s="42" cm="1">
        <f t="array" ref="AA110">删BUFF取远程属性(AA$106,MATCH($E110,BUFF,0))</f>
        <v>2.5</v>
      </c>
      <c r="AB110" s="23" cm="1">
        <f t="array" ref="AB110">删BUFF取远程属性(AB$106,MATCH($E110,BUFF,0))</f>
        <v>2.75</v>
      </c>
      <c r="AC110" s="23" cm="1">
        <f t="array" ref="AC110">删BUFF取远程属性(AC$106,MATCH($E110,BUFF,0))</f>
        <v>0</v>
      </c>
      <c r="AD110" s="23" cm="1">
        <f t="array" ref="AD110">删BUFF取远程属性(AD$106,MATCH($E110,BUFF,0))</f>
        <v>0.6</v>
      </c>
      <c r="AE110" s="23" cm="1">
        <f t="array" ref="AE110">删BUFF取远程属性(AE$106,MATCH($E110,BUFF,0))</f>
        <v>0</v>
      </c>
      <c r="AF110" s="23" cm="1">
        <f t="array" ref="AF110">删BUFF取远程属性(AF$106,MATCH($E110,BUFF,0))</f>
        <v>0.83008</v>
      </c>
      <c r="AG110" s="23" cm="1">
        <f t="array" ref="AG110">删BUFF取远程属性(AG$106,MATCH($E110,BUFF,0))</f>
        <v>0.24</v>
      </c>
      <c r="AH110" s="23" cm="1">
        <f t="array" ref="AH110">删BUFF取远程属性(AH$106,MATCH($E110,BUFF,0))</f>
        <v>0</v>
      </c>
      <c r="AV110" t="str">
        <v>锋芒重剑</v>
      </c>
    </row>
    <row r="111" customFormat="1" spans="4:48">
      <c r="D111" s="79" cm="1">
        <f t="array" ref="D111">PRODUCT(D107:D110+1)-1</f>
        <v>0.0267220902612764</v>
      </c>
      <c r="AV111" t="str">
        <v>锋芒双刀</v>
      </c>
    </row>
    <row r="112" customFormat="1" spans="4:48">
      <c r="D112" s="124" t="s">
        <v>121</v>
      </c>
      <c r="E112" s="131"/>
      <c r="F112" s="131"/>
      <c r="G112" s="68" t="s">
        <v>176</v>
      </c>
      <c r="H112"/>
      <c r="I112"/>
      <c r="J112"/>
      <c r="AV112" t="str">
        <v>锋芒鞭刃</v>
      </c>
    </row>
    <row r="113" customFormat="1" customHeight="1" spans="4:48">
      <c r="D113" s="142" t="s">
        <v>167</v>
      </c>
      <c r="E113" s="119" cm="1">
        <f t="array" ref="E113">触发乘区(远程伤害类型,远程攻击,(远程攻击+角色攻击*(1-敌方抗性+属性穿透)),远程触发)*F118</f>
        <v>1061187.86486363</v>
      </c>
      <c r="F113" s="119"/>
      <c r="G113" s="151">
        <f>ROUNDDOWN(E113/远程攻速/(1+C$109)/IF($B$96="弹道",远程多重/基础远程多重,1),0)</f>
        <v>265296</v>
      </c>
      <c r="AV113" t="str">
        <v>锋芒太刀</v>
      </c>
    </row>
    <row r="114" customFormat="1" customHeight="1" spans="4:48">
      <c r="D114" s="142"/>
      <c r="E114" s="119"/>
      <c r="F114" s="119"/>
      <c r="G114" s="152"/>
      <c r="H114"/>
      <c r="I114"/>
      <c r="J114"/>
      <c r="AV114" t="str">
        <v>锋芒手枪</v>
      </c>
    </row>
    <row r="115" customFormat="1" customHeight="1" spans="4:48">
      <c r="D115" s="142"/>
      <c r="E115" s="119"/>
      <c r="F115" s="119"/>
      <c r="G115" s="153"/>
      <c r="H115"/>
      <c r="I115"/>
      <c r="J115"/>
      <c r="AV115" t="str">
        <v>锋芒双枪</v>
      </c>
    </row>
    <row r="116" customFormat="1" customHeight="1" spans="4:48">
      <c r="D116" s="143" t="s">
        <v>168</v>
      </c>
      <c r="E116" s="154" t="str">
        <f>IF(B100=0,"未暴击",B100&amp;"级暴击")</f>
        <v>未暴击</v>
      </c>
      <c r="F116" s="155" cm="1">
        <f t="array" ref="F116">远程倍率*(远程攻击+角色攻击*(1-敌方抗性+属性穿透))*昂扬背水乘区(昂扬,背水)*防御乘区(无视防御)*远程攻速*远程多重/基础远程多重*PRODUCT($C$76:$C$78+1)*C100</f>
        <v>982013.061759286</v>
      </c>
      <c r="G116" s="156" t="str">
        <f>ROUNDDOWN(F116/远程攻速/(1+C$109)/IF($B$96="弹道",远程多重/基础远程多重,1),0)&amp;REPT("!",$B$100)</f>
        <v>245503</v>
      </c>
      <c r="AV116" t="str">
        <v>锋芒榴炮</v>
      </c>
    </row>
    <row r="117" customFormat="1" customHeight="1" spans="4:48">
      <c r="D117" s="144"/>
      <c r="E117" s="154" t="str">
        <f>IF(B101=0,"未暴击",B101&amp;"级暴击")</f>
        <v>1级暴击</v>
      </c>
      <c r="F117" s="155">
        <f>F116/C100*C101</f>
        <v>1129315.02102318</v>
      </c>
      <c r="G117" s="157" t="str">
        <f>ROUNDDOWN(F117/远程攻速/(1+C$109)/IF($B$96="弹道",远程多重/基础远程多重,1),0)&amp;REPT("!",$B$101)</f>
        <v>282328!</v>
      </c>
      <c r="AV117" t="str">
        <v>锋芒霰弹枪</v>
      </c>
    </row>
    <row r="118" customFormat="1" customHeight="1" spans="4:48">
      <c r="D118" s="145"/>
      <c r="E118" s="154" t="s">
        <v>169</v>
      </c>
      <c r="F118" s="155">
        <f>F116/C100*(1+C98*(C99-1))</f>
        <v>1061187.86486363</v>
      </c>
      <c r="G118" s="156">
        <f>ROUNDDOWN(F118/远程攻速/(1+C$109)/IF($B$96="弹道",远程多重/基础远程多重,1),0)</f>
        <v>265296</v>
      </c>
      <c r="AV118" t="str">
        <v>锋芒突击枪</v>
      </c>
    </row>
    <row r="119" customHeight="1" spans="4:48">
      <c r="D119" s="143" t="s">
        <v>149</v>
      </c>
      <c r="E119" s="154" t="str">
        <f>IF(B100=0,"未暴击",B100&amp;"级暴击")</f>
        <v>未暴击</v>
      </c>
      <c r="F119" s="155" cm="1">
        <f t="array" ref="F119">触发乘区(远程伤害类型,远程攻击,(远程攻击+角色攻击*(1-敌方抗性+属性穿透)),1)*F116</f>
        <v>982013.061759286</v>
      </c>
      <c r="G119" s="156" t="str">
        <f>ROUNDDOWN(F119/远程攻速/(1+C$109)/IF($B$96="弹道",远程多重/基础远程多重,1),0)&amp;REPT("!",$B$100)</f>
        <v>245503</v>
      </c>
      <c r="AV119" t="str">
        <v>锋芒弓</v>
      </c>
    </row>
    <row r="120" customFormat="1" customHeight="1" spans="4:48">
      <c r="D120" s="144"/>
      <c r="E120" s="154" t="str">
        <f>IF(B101=0,"未暴击",B101&amp;"级暴击")</f>
        <v>1级暴击</v>
      </c>
      <c r="F120" s="155" cm="1">
        <f t="array" ref="F120">触发乘区(远程伤害类型,远程攻击,(远程攻击+角色攻击*(1-敌方抗性+属性穿透)),1)*F117</f>
        <v>1129315.02102318</v>
      </c>
      <c r="G120" s="156" t="str">
        <f>ROUNDDOWN(F120/远程攻速/(1+C$109)/IF($B$96="弹道",远程多重/基础远程多重,1),0)&amp;REPT("!",$B$101)</f>
        <v>282328!</v>
      </c>
      <c r="AV120" t="str">
        <v>薰风吐息</v>
      </c>
    </row>
    <row r="121" customFormat="1" customHeight="1" spans="4:48">
      <c r="D121" s="145"/>
      <c r="E121" s="154" t="s">
        <v>169</v>
      </c>
      <c r="F121" s="155" cm="1">
        <f t="array" ref="F121">触发乘区(远程伤害类型,远程攻击,(远程攻击+角色攻击*(1-敌方抗性+属性穿透)),1)*F118</f>
        <v>1061187.86486363</v>
      </c>
      <c r="G121" s="156">
        <f>ROUNDDOWN(F121/远程攻速/(1+C$109)/IF($B$96="弹道",远程多重/基础远程多重,1),0)</f>
        <v>265296</v>
      </c>
      <c r="AV121" t="str">
        <v>紊乱气旋</v>
      </c>
    </row>
    <row r="122" customHeight="1"/>
    <row r="123" ht="18" spans="1:36">
      <c r="A123" s="125" t="str">
        <f>IFERROR(VLOOKUP($B$3,#REF!,3,0),"同律武器")</f>
        <v>同律武器</v>
      </c>
      <c r="B123" s="162" t="str">
        <f>IFERROR(VLOOKUP($B$3,#REF!,2,0),"")</f>
        <v/>
      </c>
      <c r="AI123" s="160"/>
      <c r="AJ123" s="160"/>
    </row>
    <row r="124" spans="1:19">
      <c r="A124" s="127" t="s">
        <v>144</v>
      </c>
      <c r="B124" s="128"/>
      <c r="C124" s="129"/>
      <c r="D124" s="130" t="s">
        <v>145</v>
      </c>
      <c r="E124" s="130"/>
      <c r="F124" s="130"/>
      <c r="G124" s="130"/>
      <c r="H124" s="130"/>
      <c r="I124" s="130"/>
      <c r="J124" s="130"/>
      <c r="K124" s="130"/>
      <c r="L124" s="130"/>
      <c r="M124" s="130"/>
      <c r="N124" s="130"/>
      <c r="O124" s="130"/>
      <c r="P124" s="130"/>
      <c r="Q124" s="130"/>
      <c r="R124" s="130"/>
      <c r="S124" s="130"/>
    </row>
    <row r="125" spans="1:29">
      <c r="A125" s="68" t="s">
        <v>146</v>
      </c>
      <c r="B125" s="93" t="str">
        <f>IFERROR(VLOOKUP($B$3,#REF!,MATCH(A125,#REF!,0),0),"")</f>
        <v/>
      </c>
      <c r="C125" s="23">
        <f>IF(D3=B125,0.2,0)</f>
        <v>0</v>
      </c>
      <c r="D125" s="146" t="s">
        <v>45</v>
      </c>
      <c r="E125" s="20" t="s">
        <v>46</v>
      </c>
      <c r="F125" s="20" t="s">
        <v>47</v>
      </c>
      <c r="G125" s="21" t="s">
        <v>48</v>
      </c>
      <c r="H125" s="20" t="s">
        <v>49</v>
      </c>
      <c r="I125" s="20" t="s">
        <v>50</v>
      </c>
      <c r="J125" s="18" t="s">
        <v>51</v>
      </c>
      <c r="K125" s="18" t="s">
        <v>52</v>
      </c>
      <c r="L125" s="105" t="s">
        <v>53</v>
      </c>
      <c r="M125" s="105"/>
      <c r="N125" s="105" t="s">
        <v>54</v>
      </c>
      <c r="O125" s="105"/>
      <c r="P125" s="105" t="s">
        <v>55</v>
      </c>
      <c r="Q125" s="105"/>
      <c r="R125" s="105" t="s">
        <v>56</v>
      </c>
      <c r="S125" s="105"/>
      <c r="T125" s="20" t="s">
        <v>57</v>
      </c>
      <c r="U125" s="20" t="s">
        <v>58</v>
      </c>
      <c r="V125" s="20" t="s">
        <v>147</v>
      </c>
      <c r="W125" s="20" t="s">
        <v>148</v>
      </c>
      <c r="X125" s="20" t="s">
        <v>149</v>
      </c>
      <c r="Y125" s="20" t="s">
        <v>150</v>
      </c>
      <c r="Z125" s="20" t="s">
        <v>172</v>
      </c>
      <c r="AA125" s="18" t="s">
        <v>67</v>
      </c>
      <c r="AB125" s="18" t="s">
        <v>70</v>
      </c>
      <c r="AC125" s="18" t="s">
        <v>151</v>
      </c>
    </row>
    <row r="126" spans="1:29">
      <c r="A126" s="68" t="s">
        <v>152</v>
      </c>
      <c r="B126" s="93" t="str">
        <f>IFERROR(VLOOKUP($B$3,#REF!,MATCH(A126,#REF!,0),0),"")</f>
        <v/>
      </c>
      <c r="C126" s="23" cm="1">
        <f t="array" ref="C126">SUM(IFERROR(_xlfn.MAP(($J$126:$J$129+1)/IF($G$126:$G$129="金",11,IF($G$126:$G$129="绿",4,6)),_xlfn.LAMBDA(_xlpm.a,IF(_xlpm.a&gt;1,1,_xlpm.a)))*VLOOKUP($E$126:$E$129,武器MOD表[],MATCH("物理",武器MOD表[#Headers],0),0),0))</f>
        <v>0</v>
      </c>
      <c r="D126" s="76">
        <f>IFERROR((E$139-T126)/T126,0)</f>
        <v>-1</v>
      </c>
      <c r="E126" s="69" t="s">
        <v>173</v>
      </c>
      <c r="F126" s="93" t="str" cm="1">
        <f t="array" ref="F126">IFERROR(VLOOKUP($E126,_xlfn._xlws.FILTER(武器MOD表[],武器MOD表[类型]=$A$123),MATCH(F$125,武器MOD表[#Headers],0),0),"")</f>
        <v/>
      </c>
      <c r="G126" s="93" t="str" cm="1">
        <f t="array" ref="G126">IFERROR(VLOOKUP($E126,_xlfn._xlws.FILTER(武器MOD表[],武器MOD表[类型]=$A$123),MATCH(G$125,武器MOD表[#Headers],0),0),"")</f>
        <v/>
      </c>
      <c r="H126" s="93" t="str" cm="1">
        <f t="array" ref="H126">IFERROR(VLOOKUP($E126,_xlfn._xlws.FILTER(武器MOD表[],武器MOD表[类型]=$A$123),MATCH(H$125,武器MOD表[#Headers],0),0),"")&amp;""</f>
        <v/>
      </c>
      <c r="I126" s="93" cm="1">
        <f t="array" ref="I126">IF(AND(K126&lt;&gt;"",H126&lt;&gt;""),ROUNDUP(IF(H126=K126,IFERROR(VLOOKUP($E126,_xlfn._xlws.FILTER(武器MOD表[],武器MOD表[类型]=$A$123),7,0)+$J126-IF($G126="金",10,IF($G126="绿",3,5)),0)/2,IFERROR(VLOOKUP($E126,_xlfn._xlws.FILTER(武器MOD表[],武器MOD表[类型]=$A$123),7,0)+$J126-IF($G126="金",10,IF($G126="绿",3,5)),0)*1.5),0),IFERROR(VLOOKUP($E126,_xlfn._xlws.FILTER(武器MOD表[],武器MOD表[类型]=$A$123),7,0)+$J126-IF($G126="金",10,IF($G126="绿",3,5)),0))</f>
        <v>0</v>
      </c>
      <c r="J126" s="106">
        <v>6</v>
      </c>
      <c r="K126" s="69"/>
      <c r="L126" s="68" t="str" cm="1">
        <f t="array" ref="L126">IFERROR(INDEX(武器MOD表[#Headers],SMALL(_xlfn._xlws.FILTER(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,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&lt;&gt;0),ROUNDUP(COLUMNS($L102:L102)/2,0))),"")</f>
        <v/>
      </c>
      <c r="M126" s="78" t="str" cm="1">
        <f t="array" ref="M126">IFERROR(_xlfn.MAP(INDEX(INDEX(武器MOD表[],MATCH(1,(武器MOD表[名称]=$E126)*(武器MOD表[类型]=$A$123),0),),SMALL(_xlfn._xlws.FILTER(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,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&lt;&gt;0),ROUNDUP(COLUMNS($L102:L102)/2,0))),_xlfn.LAMBDA(_xlpm.x,IFERROR(MIN(1,($J126+1)/IF($G126="金",11,IF($G126="绿",4,6)))*_xlpm.x,_xlpm.x))),"")</f>
        <v/>
      </c>
      <c r="N126" s="68" t="str" cm="1">
        <f t="array" ref="N126">IFERROR(INDEX(武器MOD表[#Headers],SMALL(_xlfn._xlws.FILTER(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,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&lt;&gt;0),ROUNDUP(COLUMNS($L102:N102)/2,0))),"")</f>
        <v/>
      </c>
      <c r="O126" s="78" t="str" cm="1">
        <f t="array" ref="O126">IFERROR(_xlfn.MAP(INDEX(INDEX(武器MOD表[],MATCH(1,(武器MOD表[名称]=$E126)*(武器MOD表[类型]=$A$123),0),),SMALL(_xlfn._xlws.FILTER(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,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&lt;&gt;0),ROUNDUP(COLUMNS($L102:N102)/2,0))),_xlfn.LAMBDA(_xlpm.x,IFERROR(MIN(1,($J126+1)/IF($G126="金",11,IF($G126="绿",4,6)))*_xlpm.x,_xlpm.x))),"")</f>
        <v/>
      </c>
      <c r="P126" s="68" t="str" cm="1">
        <f t="array" ref="P126">IFERROR(INDEX(武器MOD表[#Headers],SMALL(_xlfn._xlws.FILTER(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,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&lt;&gt;0),ROUNDUP(COLUMNS($L102:P102)/2,0))),"")</f>
        <v/>
      </c>
      <c r="Q126" s="78" t="str" cm="1">
        <f t="array" ref="Q126">IFERROR(_xlfn.MAP(INDEX(INDEX(武器MOD表[],MATCH(1,(武器MOD表[名称]=$E126)*(武器MOD表[类型]=$A$123),0),),SMALL(_xlfn._xlws.FILTER(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,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&lt;&gt;0),ROUNDUP(COLUMNS($L102:P102)/2,0))),_xlfn.LAMBDA(_xlpm.x,IFERROR(MIN(1,($J126+1)/IF($G126="金",11,IF($G126="绿",4,6)))*_xlpm.x,_xlpm.x))),"")</f>
        <v/>
      </c>
      <c r="R126" s="68" t="str" cm="1">
        <f t="array" ref="R126">IFERROR(INDEX(武器MOD表[#Headers],SMALL(_xlfn._xlws.FILTER(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,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&lt;&gt;0),ROUNDUP(COLUMNS($L102:R102)/2,0))),"")</f>
        <v/>
      </c>
      <c r="S126" s="78" t="str" cm="1">
        <f t="array" ref="S126">IFERROR(_xlfn.MAP(INDEX(INDEX(武器MOD表[],MATCH(1,(武器MOD表[名称]=$E126)*(武器MOD表[类型]=$A$123),0),),SMALL(_xlfn._xlws.FILTER(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,COLUMN(_xlfn.DROP(INDEX(武器MOD表[],MATCH(1,(武器MOD表[名称]=$E126)*(武器MOD表[类型]=$A$123),0),),,MATCH("耐受",武器MOD表[#Headers],0)))*(_xlfn.DROP(INDEX(武器MOD表[],MATCH(1,(武器MOD表[名称]=$E126)*(武器MOD表[类型]=$A$123),0),),,MATCH("耐受",武器MOD表[#Headers],0))&lt;&gt;"")&lt;&gt;0),ROUNDUP(COLUMNS($L102:R102)/2,0))),_xlfn.LAMBDA(_xlpm.x,IFERROR(MIN(1,($J126+1)/IF($G126="金",11,IF($G126="绿",4,6)))*_xlpm.x,_xlpm.x))),"")</f>
        <v/>
      </c>
      <c r="T126" s="20" cm="1">
        <f t="array" ref="T126">同律倍率*触发乘区(同律伤害类型,U126,U126+角色攻击*(1-敌方抗性+属性穿透),X126)*(U126+角色攻击*(1-敌方抗性+属性穿透))*昂扬背水乘区(昂扬,背水)*防御乘区(无视防御)*Y126*Z126/基础同律多重*PRODUCT(AA126:AC126+1)*(1+V126*(W126-1))</f>
        <v>35280064.0591715</v>
      </c>
      <c r="U126" s="20" cm="1">
        <f t="array" ref="U126">删MOD取同律属性(U$125,ROWS($J$126:$J126))*(1+删MOD取同律属性("物理",ROWS($J$126:$J126)))</f>
        <v>90.372</v>
      </c>
      <c r="V126" s="23" cm="1">
        <f t="array" ref="V126">删MOD取同律属性(V$125,ROWS($J$126:$J126))*(1+删MOD取同律属性("物理",ROWS($J$126:$J126)))</f>
        <v>0.7095</v>
      </c>
      <c r="W126" s="23" cm="1">
        <f t="array" ref="W126">删MOD取同律属性(W$125,ROWS($J$126:$J126))*(1+删MOD取同律属性("物理",ROWS($J$126:$J126)))</f>
        <v>1</v>
      </c>
      <c r="X126" s="23" cm="1">
        <f t="array" ref="X126">删MOD取同律属性(X$125,ROWS($J$126:$J126))*(1+删MOD取同律属性("物理",ROWS($J$126:$J126)))</f>
        <v>0.2</v>
      </c>
      <c r="Y126" s="42" cm="1">
        <f t="array" ref="Y126">删MOD取同律属性(Y$125,ROWS($J$126:$J126))*(1+删MOD取同律属性("物理",ROWS($J$126:$J126)))</f>
        <v>6</v>
      </c>
      <c r="Z126" s="42" cm="1">
        <f t="array" ref="Z126">删MOD取同律属性(Z$125,ROWS($J$126:$J126))*(1+删MOD取同律属性("物理",ROWS($J$126:$J126)))</f>
        <v>1</v>
      </c>
      <c r="AA126" s="23" cm="1">
        <f t="array" ref="AA126">删MOD取同律属性(AA$125,ROWS($J$126:$J126))*(1+删MOD取同律属性("物理",ROWS($J$126:$J126)))</f>
        <v>2.75</v>
      </c>
      <c r="AB126" s="23" cm="1">
        <f t="array" ref="AB126">删MOD取同律属性(AB$125,ROWS($J$126:$J126))*(1+删MOD取同律属性("物理",ROWS($J$126:$J126)))</f>
        <v>0</v>
      </c>
      <c r="AC126" s="23" cm="1">
        <f t="array" ref="AC126">删MOD取同律属性(AC$125,ROWS($J$126:$J126))*(1+删MOD取同律属性("物理",ROWS($J$126:$J126)))</f>
        <v>0.6</v>
      </c>
    </row>
    <row r="127" spans="1:29">
      <c r="A127" s="68" t="s">
        <v>174</v>
      </c>
      <c r="B127" s="147" t="str">
        <f>IFERROR(VLOOKUP($B$3,#REF!,MATCH(A127,#REF!,0),0),"")</f>
        <v/>
      </c>
      <c r="C127" s="148"/>
      <c r="D127" s="76">
        <f>IFERROR((E$139-T127)/T127,0)</f>
        <v>-1</v>
      </c>
      <c r="E127" s="69" t="s">
        <v>177</v>
      </c>
      <c r="F127" s="93" t="str" cm="1">
        <f t="array" ref="F127">IFERROR(VLOOKUP($E127,_xlfn._xlws.FILTER(武器MOD表[],武器MOD表[类型]=$A$123),MATCH(F$125,武器MOD表[#Headers],0),0),"")</f>
        <v/>
      </c>
      <c r="G127" s="93" t="str" cm="1">
        <f t="array" ref="G127">IFERROR(VLOOKUP($E127,_xlfn._xlws.FILTER(武器MOD表[],武器MOD表[类型]=$A$123),MATCH(G$125,武器MOD表[#Headers],0),0),"")</f>
        <v/>
      </c>
      <c r="H127" s="93" t="str" cm="1">
        <f t="array" ref="H127">IFERROR(VLOOKUP($E127,_xlfn._xlws.FILTER(武器MOD表[],武器MOD表[类型]=$A$123),MATCH(H$125,武器MOD表[#Headers],0),0),"")&amp;""</f>
        <v/>
      </c>
      <c r="I127" s="93" cm="1">
        <f t="array" ref="I127">IF(AND(K127&lt;&gt;"",H127&lt;&gt;""),ROUNDUP(IF(H127=K127,IFERROR(VLOOKUP($E127,_xlfn._xlws.FILTER(武器MOD表[],武器MOD表[类型]=$A$123),7,0)+$J127-IF($G127="金",10,IF($G127="绿",3,5)),0)/2,IFERROR(VLOOKUP($E127,_xlfn._xlws.FILTER(武器MOD表[],武器MOD表[类型]=$A$123),7,0)+$J127-IF($G127="金",10,IF($G127="绿",3,5)),0)*1.5),0),IFERROR(VLOOKUP($E127,_xlfn._xlws.FILTER(武器MOD表[],武器MOD表[类型]=$A$123),7,0)+$J127-IF($G127="金",10,IF($G127="绿",3,5)),0))</f>
        <v>0</v>
      </c>
      <c r="J127" s="106">
        <v>6</v>
      </c>
      <c r="K127" s="69"/>
      <c r="L127" s="68" t="str" cm="1">
        <f t="array" ref="L127">IFERROR(INDEX(武器MOD表[#Headers],SMALL(_xlfn._xlws.FILTER(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,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&lt;&gt;0),ROUNDUP(COLUMNS($L103:L103)/2,0))),"")</f>
        <v/>
      </c>
      <c r="M127" s="78" t="str" cm="1">
        <f t="array" ref="M127">IFERROR(_xlfn.MAP(INDEX(INDEX(武器MOD表[],MATCH(1,(武器MOD表[名称]=$E127)*(武器MOD表[类型]=$A$123),0),),SMALL(_xlfn._xlws.FILTER(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,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&lt;&gt;0),ROUNDUP(COLUMNS($L103:L103)/2,0))),_xlfn.LAMBDA(_xlpm.x,IFERROR(MIN(1,($J127+1)/IF($G127="金",11,IF($G127="绿",4,6)))*_xlpm.x,_xlpm.x))),"")</f>
        <v/>
      </c>
      <c r="N127" s="68" t="str" cm="1">
        <f t="array" ref="N127">IFERROR(INDEX(武器MOD表[#Headers],SMALL(_xlfn._xlws.FILTER(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,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&lt;&gt;0),ROUNDUP(COLUMNS($L103:N103)/2,0))),"")</f>
        <v/>
      </c>
      <c r="O127" s="78" t="str" cm="1">
        <f t="array" ref="O127">IFERROR(_xlfn.MAP(INDEX(INDEX(武器MOD表[],MATCH(1,(武器MOD表[名称]=$E127)*(武器MOD表[类型]=$A$123),0),),SMALL(_xlfn._xlws.FILTER(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,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&lt;&gt;0),ROUNDUP(COLUMNS($L103:N103)/2,0))),_xlfn.LAMBDA(_xlpm.x,IFERROR(MIN(1,($J127+1)/IF($G127="金",11,IF($G127="绿",4,6)))*_xlpm.x,_xlpm.x))),"")</f>
        <v/>
      </c>
      <c r="P127" s="68" t="str" cm="1">
        <f t="array" ref="P127">IFERROR(INDEX(武器MOD表[#Headers],SMALL(_xlfn._xlws.FILTER(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,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&lt;&gt;0),ROUNDUP(COLUMNS($L103:P103)/2,0))),"")</f>
        <v/>
      </c>
      <c r="Q127" s="78" t="str" cm="1">
        <f t="array" ref="Q127">IFERROR(_xlfn.MAP(INDEX(INDEX(武器MOD表[],MATCH(1,(武器MOD表[名称]=$E127)*(武器MOD表[类型]=$A$123),0),),SMALL(_xlfn._xlws.FILTER(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,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&lt;&gt;0),ROUNDUP(COLUMNS($L103:P103)/2,0))),_xlfn.LAMBDA(_xlpm.x,IFERROR(MIN(1,($J127+1)/IF($G127="金",11,IF($G127="绿",4,6)))*_xlpm.x,_xlpm.x))),"")</f>
        <v/>
      </c>
      <c r="R127" s="68" t="str" cm="1">
        <f t="array" ref="R127">IFERROR(INDEX(武器MOD表[#Headers],SMALL(_xlfn._xlws.FILTER(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,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&lt;&gt;0),ROUNDUP(COLUMNS($L103:R103)/2,0))),"")</f>
        <v/>
      </c>
      <c r="S127" s="78" t="str" cm="1">
        <f t="array" ref="S127">IFERROR(_xlfn.MAP(INDEX(INDEX(武器MOD表[],MATCH(1,(武器MOD表[名称]=$E127)*(武器MOD表[类型]=$A$123),0),),SMALL(_xlfn._xlws.FILTER(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,COLUMN(_xlfn.DROP(INDEX(武器MOD表[],MATCH(1,(武器MOD表[名称]=$E127)*(武器MOD表[类型]=$A$123),0),),,MATCH("耐受",武器MOD表[#Headers],0)))*(_xlfn.DROP(INDEX(武器MOD表[],MATCH(1,(武器MOD表[名称]=$E127)*(武器MOD表[类型]=$A$123),0),),,MATCH("耐受",武器MOD表[#Headers],0))&lt;&gt;"")&lt;&gt;0),ROUNDUP(COLUMNS($L103:R103)/2,0))),_xlfn.LAMBDA(_xlpm.x,IFERROR(MIN(1,($J127+1)/IF($G127="金",11,IF($G127="绿",4,6)))*_xlpm.x,_xlpm.x))),"")</f>
        <v/>
      </c>
      <c r="T127" s="20" cm="1">
        <f t="array" ref="T127">同律倍率*触发乘区(同律伤害类型,U127,U127+角色攻击*(1-敌方抗性+属性穿透),X127)*(U127+角色攻击*(1-敌方抗性+属性穿透))*昂扬背水乘区(昂扬,背水)*防御乘区(无视防御)*Y127*Z127/基础同律多重*PRODUCT(AA127:AC127+1)*(1+V127*(W127-1))</f>
        <v>35280064.0591715</v>
      </c>
      <c r="U127" s="20" cm="1">
        <f t="array" ref="U127">删MOD取同律属性(U$125,ROWS($J$126:$J127))*(1+删MOD取同律属性("物理",ROWS($J$126:$J127)))</f>
        <v>90.372</v>
      </c>
      <c r="V127" s="23" cm="1">
        <f t="array" ref="V127">删MOD取同律属性(V$125,ROWS($J$126:$J127))*(1+删MOD取同律属性("物理",ROWS($J$126:$J127)))</f>
        <v>0.7095</v>
      </c>
      <c r="W127" s="23" cm="1">
        <f t="array" ref="W127">删MOD取同律属性(W$125,ROWS($J$126:$J127))*(1+删MOD取同律属性("物理",ROWS($J$126:$J127)))</f>
        <v>1</v>
      </c>
      <c r="X127" s="23" cm="1">
        <f t="array" ref="X127">删MOD取同律属性(X$125,ROWS($J$126:$J127))*(1+删MOD取同律属性("物理",ROWS($J$126:$J127)))</f>
        <v>0.2</v>
      </c>
      <c r="Y127" s="42" cm="1">
        <f t="array" ref="Y127">删MOD取同律属性(Y$125,ROWS($J$126:$J127))*(1+删MOD取同律属性("物理",ROWS($J$126:$J127)))</f>
        <v>6</v>
      </c>
      <c r="Z127" s="42" cm="1">
        <f t="array" ref="Z127">删MOD取同律属性(Z$125,ROWS($J$126:$J127))*(1+删MOD取同律属性("物理",ROWS($J$126:$J127)))</f>
        <v>1</v>
      </c>
      <c r="AA127" s="23" cm="1">
        <f t="array" ref="AA127">删MOD取同律属性(AA$125,ROWS($J$126:$J127))*(1+删MOD取同律属性("物理",ROWS($J$126:$J127)))</f>
        <v>2.75</v>
      </c>
      <c r="AB127" s="23" cm="1">
        <f t="array" ref="AB127">删MOD取同律属性(AB$125,ROWS($J$126:$J127))*(1+删MOD取同律属性("物理",ROWS($J$126:$J127)))</f>
        <v>0</v>
      </c>
      <c r="AC127" s="23" cm="1">
        <f t="array" ref="AC127">删MOD取同律属性(AC$125,ROWS($J$126:$J127))*(1+删MOD取同律属性("物理",ROWS($J$126:$J127)))</f>
        <v>0.6</v>
      </c>
    </row>
    <row r="128" spans="1:29">
      <c r="A128" s="68" t="s">
        <v>58</v>
      </c>
      <c r="B128" s="75">
        <f>IFERROR(VLOOKUP($B$3,#REF!,MATCH("基础"&amp;A128,#REF!,0),0),0)</f>
        <v>0</v>
      </c>
      <c r="C128" s="75" cm="1">
        <f t="array" ref="C128">B128*(1+C126)*SUM(1,C125,IFERROR(_xlfn.MAP(($J$126:$J$129+1)/IF($G$126:$G$129="金",11,IF($G$126:$G$129="绿",4,6)),_xlfn.LAMBDA(_xlpm.a,IF(_xlpm.a&gt;1,1,_xlpm.a)))*_xlfn.MAP($E$126:$E$129,_xlfn.LAMBDA(_xlpm.b,INDEX(武器MOD表[],MATCH(1,(武器MOD表[名称]=_xlpm.b)*(武器MOD表[类型]=$A$123),0),MATCH(A128,武器MOD表[#Headers],0)))),0),IFERROR(BUFF层数乘数*VLOOKUP(BUFF,BUFF表[],MATCH(IF($A$123="同律远程","远程","近战")&amp;A128,BUFF表[#Headers],0),0),0))</f>
        <v>0</v>
      </c>
      <c r="D128" s="76">
        <f>IFERROR((E$139-T128)/T128,0)</f>
        <v>-1</v>
      </c>
      <c r="E128" s="69" t="s">
        <v>154</v>
      </c>
      <c r="F128" s="93" t="str" cm="1">
        <f t="array" ref="F128">IFERROR(VLOOKUP($E128,_xlfn._xlws.FILTER(武器MOD表[],武器MOD表[类型]=$A$123),MATCH(F$125,武器MOD表[#Headers],0),0),"")</f>
        <v/>
      </c>
      <c r="G128" s="93" t="str" cm="1">
        <f t="array" ref="G128">IFERROR(VLOOKUP($E128,_xlfn._xlws.FILTER(武器MOD表[],武器MOD表[类型]=$A$123),MATCH(G$125,武器MOD表[#Headers],0),0),"")</f>
        <v/>
      </c>
      <c r="H128" s="93" t="str" cm="1">
        <f t="array" ref="H128">IFERROR(VLOOKUP($E128,_xlfn._xlws.FILTER(武器MOD表[],武器MOD表[类型]=$A$123),MATCH(H$125,武器MOD表[#Headers],0),0),"")&amp;""</f>
        <v/>
      </c>
      <c r="I128" s="93" cm="1">
        <f t="array" ref="I128">IF(AND(K128&lt;&gt;"",H128&lt;&gt;""),ROUNDUP(IF(H128=K128,IFERROR(VLOOKUP($E128,_xlfn._xlws.FILTER(武器MOD表[],武器MOD表[类型]=$A$123),7,0)+$J128-IF($G128="金",10,IF($G128="绿",3,5)),0)/2,IFERROR(VLOOKUP($E128,_xlfn._xlws.FILTER(武器MOD表[],武器MOD表[类型]=$A$123),7,0)+$J128-IF($G128="金",10,IF($G128="绿",3,5)),0)*1.5),0),IFERROR(VLOOKUP($E128,_xlfn._xlws.FILTER(武器MOD表[],武器MOD表[类型]=$A$123),7,0)+$J128-IF($G128="金",10,IF($G128="绿",3,5)),0))</f>
        <v>0</v>
      </c>
      <c r="J128" s="106">
        <v>6</v>
      </c>
      <c r="K128" s="69"/>
      <c r="L128" s="68" t="str" cm="1">
        <f t="array" ref="L128">IFERROR(INDEX(武器MOD表[#Headers],SMALL(_xlfn._xlws.FILTER(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,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&lt;&gt;0),ROUNDUP(COLUMNS($L104:L104)/2,0))),"")</f>
        <v/>
      </c>
      <c r="M128" s="78" t="str" cm="1">
        <f t="array" ref="M128">IFERROR(_xlfn.MAP(INDEX(INDEX(武器MOD表[],MATCH(1,(武器MOD表[名称]=$E128)*(武器MOD表[类型]=$A$123),0),),SMALL(_xlfn._xlws.FILTER(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,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&lt;&gt;0),ROUNDUP(COLUMNS($L104:L104)/2,0))),_xlfn.LAMBDA(_xlpm.x,IFERROR(MIN(1,($J128+1)/IF($G128="金",11,IF($G128="绿",4,6)))*_xlpm.x,_xlpm.x))),"")</f>
        <v/>
      </c>
      <c r="N128" s="68" t="str" cm="1">
        <f t="array" ref="N128">IFERROR(INDEX(武器MOD表[#Headers],SMALL(_xlfn._xlws.FILTER(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,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&lt;&gt;0),ROUNDUP(COLUMNS($L104:N104)/2,0))),"")</f>
        <v/>
      </c>
      <c r="O128" s="78" t="str" cm="1">
        <f t="array" ref="O128">IFERROR(_xlfn.MAP(INDEX(INDEX(武器MOD表[],MATCH(1,(武器MOD表[名称]=$E128)*(武器MOD表[类型]=$A$123),0),),SMALL(_xlfn._xlws.FILTER(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,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&lt;&gt;0),ROUNDUP(COLUMNS($L104:N104)/2,0))),_xlfn.LAMBDA(_xlpm.x,IFERROR(MIN(1,($J128+1)/IF($G128="金",11,IF($G128="绿",4,6)))*_xlpm.x,_xlpm.x))),"")</f>
        <v/>
      </c>
      <c r="P128" s="68" t="str" cm="1">
        <f t="array" ref="P128">IFERROR(INDEX(武器MOD表[#Headers],SMALL(_xlfn._xlws.FILTER(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,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&lt;&gt;0),ROUNDUP(COLUMNS($L104:P104)/2,0))),"")</f>
        <v/>
      </c>
      <c r="Q128" s="78" t="str" cm="1">
        <f t="array" ref="Q128">IFERROR(_xlfn.MAP(INDEX(INDEX(武器MOD表[],MATCH(1,(武器MOD表[名称]=$E128)*(武器MOD表[类型]=$A$123),0),),SMALL(_xlfn._xlws.FILTER(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,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&lt;&gt;0),ROUNDUP(COLUMNS($L104:P104)/2,0))),_xlfn.LAMBDA(_xlpm.x,IFERROR(MIN(1,($J128+1)/IF($G128="金",11,IF($G128="绿",4,6)))*_xlpm.x,_xlpm.x))),"")</f>
        <v/>
      </c>
      <c r="R128" s="68" t="str" cm="1">
        <f t="array" ref="R128">IFERROR(INDEX(武器MOD表[#Headers],SMALL(_xlfn._xlws.FILTER(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,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&lt;&gt;0),ROUNDUP(COLUMNS($L104:R104)/2,0))),"")</f>
        <v/>
      </c>
      <c r="S128" s="78" t="str" cm="1">
        <f t="array" ref="S128">IFERROR(_xlfn.MAP(INDEX(INDEX(武器MOD表[],MATCH(1,(武器MOD表[名称]=$E128)*(武器MOD表[类型]=$A$123),0),),SMALL(_xlfn._xlws.FILTER(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,COLUMN(_xlfn.DROP(INDEX(武器MOD表[],MATCH(1,(武器MOD表[名称]=$E128)*(武器MOD表[类型]=$A$123),0),),,MATCH("耐受",武器MOD表[#Headers],0)))*(_xlfn.DROP(INDEX(武器MOD表[],MATCH(1,(武器MOD表[名称]=$E128)*(武器MOD表[类型]=$A$123),0),),,MATCH("耐受",武器MOD表[#Headers],0))&lt;&gt;"")&lt;&gt;0),ROUNDUP(COLUMNS($L104:R104)/2,0))),_xlfn.LAMBDA(_xlpm.x,IFERROR(MIN(1,($J128+1)/IF($G128="金",11,IF($G128="绿",4,6)))*_xlpm.x,_xlpm.x))),"")</f>
        <v/>
      </c>
      <c r="T128" s="20" cm="1">
        <f t="array" ref="T128">同律倍率*触发乘区(同律伤害类型,U128,U128+角色攻击*(1-敌方抗性+属性穿透),X128)*(U128+角色攻击*(1-敌方抗性+属性穿透))*昂扬背水乘区(昂扬,背水)*防御乘区(无视防御)*Y128*Z128/基础同律多重*PRODUCT(AA128:AC128+1)*(1+V128*(W128-1))</f>
        <v>35280064.0591715</v>
      </c>
      <c r="U128" s="20" cm="1">
        <f t="array" ref="U128">删MOD取同律属性(U$125,ROWS($J$126:$J128))*(1+删MOD取同律属性("物理",ROWS($J$126:$J128)))</f>
        <v>90.372</v>
      </c>
      <c r="V128" s="23" cm="1">
        <f t="array" ref="V128">删MOD取同律属性(V$125,ROWS($J$126:$J128))*(1+删MOD取同律属性("物理",ROWS($J$126:$J128)))</f>
        <v>0.7095</v>
      </c>
      <c r="W128" s="23" cm="1">
        <f t="array" ref="W128">删MOD取同律属性(W$125,ROWS($J$126:$J128))*(1+删MOD取同律属性("物理",ROWS($J$126:$J128)))</f>
        <v>1</v>
      </c>
      <c r="X128" s="23" cm="1">
        <f t="array" ref="X128">删MOD取同律属性(X$125,ROWS($J$126:$J128))*(1+删MOD取同律属性("物理",ROWS($J$126:$J128)))</f>
        <v>0.2</v>
      </c>
      <c r="Y128" s="42" cm="1">
        <f t="array" ref="Y128">删MOD取同律属性(Y$125,ROWS($J$126:$J128))*(1+删MOD取同律属性("物理",ROWS($J$126:$J128)))</f>
        <v>6</v>
      </c>
      <c r="Z128" s="42" cm="1">
        <f t="array" ref="Z128">删MOD取同律属性(Z$125,ROWS($J$126:$J128))*(1+删MOD取同律属性("物理",ROWS($J$126:$J128)))</f>
        <v>1</v>
      </c>
      <c r="AA128" s="23" cm="1">
        <f t="array" ref="AA128">删MOD取同律属性(AA$125,ROWS($J$126:$J128))*(1+删MOD取同律属性("物理",ROWS($J$126:$J128)))</f>
        <v>2.75</v>
      </c>
      <c r="AB128" s="23" cm="1">
        <f t="array" ref="AB128">删MOD取同律属性(AB$125,ROWS($J$126:$J128))*(1+删MOD取同律属性("物理",ROWS($J$126:$J128)))</f>
        <v>0</v>
      </c>
      <c r="AC128" s="23" cm="1">
        <f t="array" ref="AC128">删MOD取同律属性(AC$125,ROWS($J$126:$J128))*(1+删MOD取同律属性("物理",ROWS($J$126:$J128)))</f>
        <v>0.6</v>
      </c>
    </row>
    <row r="129" spans="1:29">
      <c r="A129" s="68" t="s">
        <v>147</v>
      </c>
      <c r="B129" s="78">
        <f>IFERROR(VLOOKUP($B$3,#REF!,MATCH("基础"&amp;A129,#REF!,0),0),0)</f>
        <v>0</v>
      </c>
      <c r="C129" s="78" cm="1">
        <f t="array" ref="C129">B129*SUM(1,IFERROR(_xlfn.MAP(($J$126:$J$129+1)/IF($G$126:$G$129="金",11,IF($G$126:$G$129="绿",4,6)),_xlfn.LAMBDA(_xlpm.a,IF(_xlpm.a&gt;1,1,_xlpm.a)))*_xlfn.MAP($E$126:$E$129,_xlfn.LAMBDA(_xlpm.b,INDEX(武器MOD表[],MATCH(1,(武器MOD表[名称]=_xlpm.b)*(武器MOD表[类型]=$A$123),0),MATCH(A129,武器MOD表[#Headers],0)))),0),IFERROR(BUFF层数乘数*VLOOKUP(BUFF,BUFF表[],MATCH(A129,BUFF表[#Headers],0),0),0),IFERROR(BUFF层数乘数*VLOOKUP(BUFF,BUFF表[],MATCH(IF($A$123="同律远程","远程","近战")&amp;A129,BUFF表[#Headers],0),0),0))</f>
        <v>0</v>
      </c>
      <c r="D129" s="76">
        <f>IFERROR((E$139-T129)/T129,0)</f>
        <v>-1</v>
      </c>
      <c r="E129" s="69" t="s">
        <v>153</v>
      </c>
      <c r="F129" s="93" t="str" cm="1">
        <f t="array" ref="F129">IFERROR(VLOOKUP($E129,_xlfn._xlws.FILTER(武器MOD表[],武器MOD表[类型]=$A$123),MATCH(F$125,武器MOD表[#Headers],0),0),"")</f>
        <v/>
      </c>
      <c r="G129" s="93" t="str" cm="1">
        <f t="array" ref="G129">IFERROR(VLOOKUP($E129,_xlfn._xlws.FILTER(武器MOD表[],武器MOD表[类型]=$A$123),MATCH(G$125,武器MOD表[#Headers],0),0),"")</f>
        <v/>
      </c>
      <c r="H129" s="93" t="str" cm="1">
        <f t="array" ref="H129">IFERROR(VLOOKUP($E129,_xlfn._xlws.FILTER(武器MOD表[],武器MOD表[类型]=$A$123),MATCH(H$125,武器MOD表[#Headers],0),0),"")&amp;""</f>
        <v/>
      </c>
      <c r="I129" s="93" cm="1">
        <f t="array" ref="I129">IF(AND(K129&lt;&gt;"",H129&lt;&gt;""),ROUNDUP(IF(H129=K129,IFERROR(VLOOKUP($E129,_xlfn._xlws.FILTER(武器MOD表[],武器MOD表[类型]=$A$123),7,0)+$J129-IF($G129="金",10,IF($G129="绿",3,5)),0)/2,IFERROR(VLOOKUP($E129,_xlfn._xlws.FILTER(武器MOD表[],武器MOD表[类型]=$A$123),7,0)+$J129-IF($G129="金",10,IF($G129="绿",3,5)),0)*1.5),0),IFERROR(VLOOKUP($E129,_xlfn._xlws.FILTER(武器MOD表[],武器MOD表[类型]=$A$123),7,0)+$J129-IF($G129="金",10,IF($G129="绿",3,5)),0))</f>
        <v>0</v>
      </c>
      <c r="J129" s="106">
        <v>6</v>
      </c>
      <c r="K129" s="69"/>
      <c r="L129" s="68" t="str" cm="1">
        <f t="array" ref="L129">IFERROR(INDEX(武器MOD表[#Headers],SMALL(_xlfn._xlws.FILTER(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,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&lt;&gt;0),ROUNDUP(COLUMNS($L105:L105)/2,0))),"")</f>
        <v/>
      </c>
      <c r="M129" s="78" t="str" cm="1">
        <f t="array" ref="M129">IFERROR(_xlfn.MAP(INDEX(INDEX(武器MOD表[],MATCH(1,(武器MOD表[名称]=$E129)*(武器MOD表[类型]=$A$123),0),),SMALL(_xlfn._xlws.FILTER(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,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&lt;&gt;0),ROUNDUP(COLUMNS($L105:L105)/2,0))),_xlfn.LAMBDA(_xlpm.x,IFERROR(MIN(1,($J129+1)/IF($G129="金",11,IF($G129="绿",4,6)))*_xlpm.x,_xlpm.x))),"")</f>
        <v/>
      </c>
      <c r="N129" s="68" t="str" cm="1">
        <f t="array" ref="N129">IFERROR(INDEX(武器MOD表[#Headers],SMALL(_xlfn._xlws.FILTER(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,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&lt;&gt;0),ROUNDUP(COLUMNS($L105:N105)/2,0))),"")</f>
        <v/>
      </c>
      <c r="O129" s="78" t="str" cm="1">
        <f t="array" ref="O129">IFERROR(_xlfn.MAP(INDEX(INDEX(武器MOD表[],MATCH(1,(武器MOD表[名称]=$E129)*(武器MOD表[类型]=$A$123),0),),SMALL(_xlfn._xlws.FILTER(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,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&lt;&gt;0),ROUNDUP(COLUMNS($L105:N105)/2,0))),_xlfn.LAMBDA(_xlpm.x,IFERROR(MIN(1,($J129+1)/IF($G129="金",11,IF($G129="绿",4,6)))*_xlpm.x,_xlpm.x))),"")</f>
        <v/>
      </c>
      <c r="P129" s="68" t="str" cm="1">
        <f t="array" ref="P129">IFERROR(INDEX(武器MOD表[#Headers],SMALL(_xlfn._xlws.FILTER(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,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&lt;&gt;0),ROUNDUP(COLUMNS($L105:P105)/2,0))),"")</f>
        <v/>
      </c>
      <c r="Q129" s="78" t="str" cm="1">
        <f t="array" ref="Q129">IFERROR(_xlfn.MAP(INDEX(INDEX(武器MOD表[],MATCH(1,(武器MOD表[名称]=$E129)*(武器MOD表[类型]=$A$123),0),),SMALL(_xlfn._xlws.FILTER(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,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&lt;&gt;0),ROUNDUP(COLUMNS($L105:P105)/2,0))),_xlfn.LAMBDA(_xlpm.x,IFERROR(MIN(1,($J129+1)/IF($G129="金",11,IF($G129="绿",4,6)))*_xlpm.x,_xlpm.x))),"")</f>
        <v/>
      </c>
      <c r="R129" s="68" t="str" cm="1">
        <f t="array" ref="R129">IFERROR(INDEX(武器MOD表[#Headers],SMALL(_xlfn._xlws.FILTER(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,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&lt;&gt;0),ROUNDUP(COLUMNS($L105:R105)/2,0))),"")</f>
        <v/>
      </c>
      <c r="S129" s="78" t="str" cm="1">
        <f t="array" ref="S129">IFERROR(_xlfn.MAP(INDEX(INDEX(武器MOD表[],MATCH(1,(武器MOD表[名称]=$E129)*(武器MOD表[类型]=$A$123),0),),SMALL(_xlfn._xlws.FILTER(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,COLUMN(_xlfn.DROP(INDEX(武器MOD表[],MATCH(1,(武器MOD表[名称]=$E129)*(武器MOD表[类型]=$A$123),0),),,MATCH("耐受",武器MOD表[#Headers],0)))*(_xlfn.DROP(INDEX(武器MOD表[],MATCH(1,(武器MOD表[名称]=$E129)*(武器MOD表[类型]=$A$123),0),),,MATCH("耐受",武器MOD表[#Headers],0))&lt;&gt;"")&lt;&gt;0),ROUNDUP(COLUMNS($L105:R105)/2,0))),_xlfn.LAMBDA(_xlpm.x,IFERROR(MIN(1,($J129+1)/IF($G129="金",11,IF($G129="绿",4,6)))*_xlpm.x,_xlpm.x))),"")</f>
        <v/>
      </c>
      <c r="T129" s="20" cm="1">
        <f t="array" ref="T129">同律倍率*触发乘区(同律伤害类型,U129,U129+角色攻击*(1-敌方抗性+属性穿透),X129)*(U129+角色攻击*(1-敌方抗性+属性穿透))*昂扬背水乘区(昂扬,背水)*防御乘区(无视防御)*Y129*Z129/基础同律多重*PRODUCT(AA129:AC129+1)*(1+V129*(W129-1))</f>
        <v>35280064.0591715</v>
      </c>
      <c r="U129" s="20" cm="1">
        <f t="array" ref="U129">删MOD取同律属性(U$125,ROWS($J$126:$J129))*(1+删MOD取同律属性("物理",ROWS($J$126:$J129)))</f>
        <v>90.372</v>
      </c>
      <c r="V129" s="23" cm="1">
        <f t="array" ref="V129">删MOD取同律属性(V$125,ROWS($J$126:$J129))*(1+删MOD取同律属性("物理",ROWS($J$126:$J129)))</f>
        <v>0.7095</v>
      </c>
      <c r="W129" s="23" cm="1">
        <f t="array" ref="W129">删MOD取同律属性(W$125,ROWS($J$126:$J129))*(1+删MOD取同律属性("物理",ROWS($J$126:$J129)))</f>
        <v>1</v>
      </c>
      <c r="X129" s="23" cm="1">
        <f t="array" ref="X129">删MOD取同律属性(X$125,ROWS($J$126:$J129))*(1+删MOD取同律属性("物理",ROWS($J$126:$J129)))</f>
        <v>0.2</v>
      </c>
      <c r="Y129" s="42" cm="1">
        <f t="array" ref="Y129">删MOD取同律属性(Y$125,ROWS($J$126:$J129))*(1+删MOD取同律属性("物理",ROWS($J$126:$J129)))</f>
        <v>6</v>
      </c>
      <c r="Z129" s="42" cm="1">
        <f t="array" ref="Z129">删MOD取同律属性(Z$125,ROWS($J$126:$J129))*(1+删MOD取同律属性("物理",ROWS($J$126:$J129)))</f>
        <v>1</v>
      </c>
      <c r="AA129" s="23" cm="1">
        <f t="array" ref="AA129">删MOD取同律属性(AA$125,ROWS($J$126:$J129))*(1+删MOD取同律属性("物理",ROWS($J$126:$J129)))</f>
        <v>2.75</v>
      </c>
      <c r="AB129" s="23" cm="1">
        <f t="array" ref="AB129">删MOD取同律属性(AB$125,ROWS($J$126:$J129))*(1+删MOD取同律属性("物理",ROWS($J$126:$J129)))</f>
        <v>0</v>
      </c>
      <c r="AC129" s="23" cm="1">
        <f t="array" ref="AC129">删MOD取同律属性(AC$125,ROWS($J$126:$J129))*(1+删MOD取同律属性("物理",ROWS($J$126:$J129)))</f>
        <v>0.6</v>
      </c>
    </row>
    <row r="130" spans="1:24">
      <c r="A130" s="68" t="s">
        <v>148</v>
      </c>
      <c r="B130" s="78">
        <f>IFERROR(VLOOKUP($B$3,#REF!,MATCH("基础"&amp;A130,#REF!,0),0),0)</f>
        <v>0</v>
      </c>
      <c r="C130" s="78" cm="1">
        <f t="array" ref="C130">B130*SUM(1,IFERROR(_xlfn.MAP(($J$126:$J$129+1)/IF($G$126:$G$129="金",11,IF($G$126:$G$129="绿",4,6)),_xlfn.LAMBDA(_xlpm.a,IF(_xlpm.a&gt;1,1,_xlpm.a)))*_xlfn.MAP($E$126:$E$129,_xlfn.LAMBDA(_xlpm.b,INDEX(武器MOD表[],MATCH(1,(武器MOD表[名称]=_xlpm.b)*(武器MOD表[类型]=$A$123),0),MATCH(A130,武器MOD表[#Headers],0)))),0),IFERROR(BUFF层数乘数*VLOOKUP(BUFF,BUFF表[],MATCH(A130,BUFF表[#Headers],0),0),0),IFERROR(BUFF层数乘数*VLOOKUP(BUFF,BUFF表[],MATCH(IF($A$123="同律远程","远程","近战")&amp;A130,BUFF表[#Headers],0),0),0))</f>
        <v>0</v>
      </c>
      <c r="D130" s="79" cm="1">
        <f t="array" ref="D130">PRODUCT(D126:D129+1)-1</f>
        <v>-1</v>
      </c>
      <c r="E130" s="68" t="s">
        <v>50</v>
      </c>
      <c r="F130" s="149" t="str">
        <f>SUM(I126:I129)&amp;"/100"</f>
        <v>0/100</v>
      </c>
      <c r="G130" s="150"/>
      <c r="H130" s="150"/>
      <c r="I130" s="158"/>
      <c r="J130" s="68" t="s">
        <v>86</v>
      </c>
      <c r="K130" s="159">
        <f>LEN(_xlfn.CONCAT(K126:K129))</f>
        <v>0</v>
      </c>
      <c r="V130" s="2"/>
      <c r="W130" s="2"/>
      <c r="X130" s="2"/>
    </row>
    <row r="131" spans="1:24">
      <c r="A131" s="68" t="s">
        <v>156</v>
      </c>
      <c r="B131" s="93">
        <f>ROUNDDOWN(B129,0)</f>
        <v>0</v>
      </c>
      <c r="C131" s="78">
        <f>($C$130-1)*B131+1</f>
        <v>1</v>
      </c>
      <c r="D131" s="81" t="s">
        <v>161</v>
      </c>
      <c r="E131" s="81"/>
      <c r="F131" s="81"/>
      <c r="G131" s="81"/>
      <c r="H131" s="81"/>
      <c r="I131" s="81"/>
      <c r="J131" s="81"/>
      <c r="K131" s="81"/>
      <c r="L131" s="81"/>
      <c r="M131" s="81"/>
      <c r="V131" s="2"/>
      <c r="W131" s="2"/>
      <c r="X131" s="2"/>
    </row>
    <row r="132" spans="1:35">
      <c r="A132" s="68" t="s">
        <v>157</v>
      </c>
      <c r="B132" s="93">
        <f>ROUNDUP(B129,0)</f>
        <v>0</v>
      </c>
      <c r="C132" s="78">
        <f>($C$130-1)*B132+1</f>
        <v>1</v>
      </c>
      <c r="D132" s="82" t="s">
        <v>45</v>
      </c>
      <c r="E132" s="18" t="s">
        <v>46</v>
      </c>
      <c r="F132" s="105" t="s">
        <v>53</v>
      </c>
      <c r="G132" s="105"/>
      <c r="H132" s="105" t="s">
        <v>54</v>
      </c>
      <c r="I132" s="105"/>
      <c r="J132" s="105" t="s">
        <v>55</v>
      </c>
      <c r="K132" s="105"/>
      <c r="L132" s="105" t="s">
        <v>56</v>
      </c>
      <c r="M132" s="105"/>
      <c r="N132" s="105" t="s">
        <v>92</v>
      </c>
      <c r="O132" s="105"/>
      <c r="P132" s="105"/>
      <c r="Q132" s="105"/>
      <c r="R132" s="105"/>
      <c r="S132" s="105"/>
      <c r="T132" s="20" t="s">
        <v>57</v>
      </c>
      <c r="U132" s="20" t="s">
        <v>164</v>
      </c>
      <c r="V132" s="20" t="s">
        <v>58</v>
      </c>
      <c r="W132" s="20" t="s">
        <v>147</v>
      </c>
      <c r="X132" s="20" t="s">
        <v>148</v>
      </c>
      <c r="Y132" s="20" t="s">
        <v>149</v>
      </c>
      <c r="Z132" s="20" t="s">
        <v>150</v>
      </c>
      <c r="AA132" s="20" t="s">
        <v>172</v>
      </c>
      <c r="AB132" s="18" t="s">
        <v>67</v>
      </c>
      <c r="AC132" s="18" t="s">
        <v>70</v>
      </c>
      <c r="AD132" s="18" t="s">
        <v>151</v>
      </c>
      <c r="AE132" s="20" t="s">
        <v>61</v>
      </c>
      <c r="AF132" s="20" t="s">
        <v>65</v>
      </c>
      <c r="AG132" s="20" t="s">
        <v>66</v>
      </c>
      <c r="AH132" s="18" t="s">
        <v>69</v>
      </c>
      <c r="AI132" s="18" t="s">
        <v>71</v>
      </c>
    </row>
    <row r="133" spans="1:35">
      <c r="A133" s="83" t="s">
        <v>149</v>
      </c>
      <c r="B133" s="78">
        <f>IFERROR(VLOOKUP($B$3,#REF!,MATCH("基础"&amp;A133,#REF!,0),0),0)</f>
        <v>0</v>
      </c>
      <c r="C133" s="78" cm="1">
        <f t="array" ref="C133">B133*SUM(1,IFERROR(_xlfn.MAP(($J$126:$J$129+1)/IF($G$126:$G$129="金",11,IF($G$126:$G$129="绿",4,6)),_xlfn.LAMBDA(_xlpm.a,IF(_xlpm.a&gt;1,1,_xlpm.a)))*_xlfn.MAP($E$126:$E$129,_xlfn.LAMBDA(_xlpm.b,INDEX(武器MOD表[],MATCH(1,(武器MOD表[名称]=_xlpm.b)*(武器MOD表[类型]=$A$123),0),MATCH(A133,武器MOD表[#Headers],0)))),0),IFERROR(BUFF层数乘数*VLOOKUP(BUFF,BUFF表[],MATCH(A133,BUFF表[#Headers],0),0),0),IFERROR(BUFF层数乘数*VLOOKUP(BUFF,BUFF表[],MATCH(IF($A$123="同律远程","远程","近战")&amp;A133,BUFF表[#Headers],0),0),0))</f>
        <v>0</v>
      </c>
      <c r="D133" s="76">
        <f>(E$139-T133)/T133</f>
        <v>-1</v>
      </c>
      <c r="E133" s="69" t="s">
        <v>107</v>
      </c>
      <c r="F133" s="102" t="str">
        <f ca="1">IFERROR(OFFSET($E$19,MATCH($E133,BUFF,0)-1,COLUMNS($F133:F133)+1),"")</f>
        <v>增伤</v>
      </c>
      <c r="G133" s="103">
        <f ca="1">IFERROR(OFFSET($E$19,MATCH($E133,BUFF,0)-1,COLUMNS($F133:G133)+1),"")</f>
        <v>0.45</v>
      </c>
      <c r="H133" s="102" t="str">
        <f ca="1">IFERROR(OFFSET($E$19,MATCH($E133,BUFF,0)-1,COLUMNS($F133:H133)+1),"")</f>
        <v>追加伤害</v>
      </c>
      <c r="I133" s="103">
        <f ca="1">IFERROR(OFFSET($E$19,MATCH($E133,BUFF,0)-1,COLUMNS($F133:I133)+1),"")</f>
        <v>0.6</v>
      </c>
      <c r="J133" s="102" t="str">
        <f ca="1">IFERROR(OFFSET($E$19,MATCH($E133,BUFF,0)-1,COLUMNS($F133:J133)+1),"")</f>
        <v>属性穿透</v>
      </c>
      <c r="K133" s="103">
        <f ca="1">IFERROR(OFFSET($E$19,MATCH($E133,BUFF,0)-1,COLUMNS($F133:K133)+1),"")</f>
        <v>0.24</v>
      </c>
      <c r="L133" s="102" t="str">
        <f ca="1">IFERROR(OFFSET($E$19,MATCH($E133,BUFF,0)-1,COLUMNS($F133:L133)+1),"")</f>
        <v>异常数量</v>
      </c>
      <c r="M133" s="103">
        <f ca="1">IFERROR(OFFSET($E$19,MATCH($E133,BUFF,0)-1,COLUMNS($F133:M133)+1),"")</f>
        <v>4</v>
      </c>
      <c r="N133" s="105" t="str">
        <f>IFERROR(VLOOKUP(E133,BUFF表[],MATCH("描述",BUFF表[#Headers],0),0),"")</f>
        <v>额外附加水、火、雷、风追加伤害并根据[梦笔生花]层数为自身和队友附加伤害提高效果</v>
      </c>
      <c r="O133" s="105"/>
      <c r="P133" s="105"/>
      <c r="Q133" s="105"/>
      <c r="R133" s="105"/>
      <c r="S133" s="105"/>
      <c r="T133" s="20" cm="1">
        <f t="array" ref="T133">$B$140*AE133*触发乘区(同律伤害类型,V133,U133+V133,Y133)*(V133+U133*(1-敌方抗性+AH133))*昂扬背水乘区(AF133,AG133)*防御乘区(AI133)*Z133*AA133/基础同律多重*PRODUCT(AB133:AD133+1)*(1+W133*(X133-1))</f>
        <v>18517807.7916496</v>
      </c>
      <c r="U133" s="20" cm="1">
        <f t="array" ref="U133">删BUFF取角色属性(V$132,MATCH($E133,BUFF,0))*(1+删BUFF取角色属性("属性伤",MATCH($E133,BUFF,0)))</f>
        <v>6096.68763763837</v>
      </c>
      <c r="V133" s="20" cm="1">
        <f t="array" ref="V133">删BUFF取同律属性(V$132,MATCH($E133,BUFF,0))*(1+删BUFF取同律属性("物理",MATCH($E133,BUFF,0)))</f>
        <v>90.372</v>
      </c>
      <c r="W133" s="23" cm="1">
        <f t="array" ref="W133">删BUFF取同律属性(W$132,MATCH($E133,BUFF,0))*(1+删BUFF取同律属性("物理",MATCH($E133,BUFF,0)))</f>
        <v>0.7095</v>
      </c>
      <c r="X133" s="23" cm="1">
        <f t="array" ref="X133">删BUFF取同律属性(X$132,MATCH($E133,BUFF,0))*(1+删BUFF取同律属性("物理",MATCH($E133,BUFF,0)))</f>
        <v>1</v>
      </c>
      <c r="Y133" s="23" cm="1">
        <f t="array" ref="Y133">删BUFF取同律属性(Y$132,MATCH($E133,BUFF,0))*(1+删BUFF取同律属性("物理",MATCH($E133,BUFF,0)))</f>
        <v>0.2</v>
      </c>
      <c r="Z133" s="42" cm="1">
        <f t="array" ref="Z133">删BUFF取同律属性(Z$132,MATCH($E133,BUFF,0))*(1+删BUFF取同律属性("物理",MATCH($E133,BUFF,0)))</f>
        <v>6</v>
      </c>
      <c r="AA133" s="42" cm="1">
        <f t="array" ref="AA133">删BUFF取同律属性(AA$132,MATCH($E133,BUFF,0))*(1+删BUFF取同律属性("物理",MATCH($E133,BUFF,0)))</f>
        <v>1</v>
      </c>
      <c r="AB133" s="23" cm="1">
        <f t="array" ref="AB133">删BUFF取同律属性(AB$132,MATCH($E133,BUFF,0))*(1+删BUFF取同律属性("物理",MATCH($E133,BUFF,0)))</f>
        <v>2.3</v>
      </c>
      <c r="AC133" s="23" cm="1">
        <f t="array" ref="AC133">删BUFF取同律属性(AC$132,MATCH($E133,BUFF,0))*(1+删BUFF取同律属性("物理",MATCH($E133,BUFF,0)))</f>
        <v>0</v>
      </c>
      <c r="AD133" s="23" cm="1">
        <f t="array" ref="AD133">删BUFF取同律属性(AD$132,MATCH($E133,BUFF,0))*(1+删BUFF取同律属性("物理",MATCH($E133,BUFF,0)))</f>
        <v>0</v>
      </c>
      <c r="AE133" s="23" cm="1">
        <f t="array" ref="AE133">删BUFF取同律属性(AE$132,MATCH($E133,BUFF,0))*(1+删BUFF取同律属性("物理",MATCH($E133,BUFF,0)))</f>
        <v>8.01554</v>
      </c>
      <c r="AF133" s="23" cm="1">
        <f t="array" ref="AF133">删BUFF取同律属性(AF$132,MATCH($E133,BUFF,0))*(1+删BUFF取同律属性("物理",MATCH($E133,BUFF,0)))</f>
        <v>0</v>
      </c>
      <c r="AG133" s="23" cm="1">
        <f t="array" ref="AG133">删BUFF取同律属性(AG$132,MATCH($E133,BUFF,0))*(1+删BUFF取同律属性("物理",MATCH($E133,BUFF,0)))</f>
        <v>0.83008</v>
      </c>
      <c r="AH133" s="23" cm="1">
        <f t="array" ref="AH133">删BUFF取同律属性(AH$132,MATCH($E133,BUFF,0))*(1+删BUFF取同律属性("物理",MATCH($E133,BUFF,0)))</f>
        <v>0</v>
      </c>
      <c r="AI133" s="23" cm="1">
        <f t="array" ref="AI133">删BUFF取同律属性(AI$132,MATCH($E133,BUFF,0))*(1+删BUFF取同律属性("物理",MATCH($E133,BUFF,0)))</f>
        <v>0</v>
      </c>
    </row>
    <row r="134" spans="1:35">
      <c r="A134" s="68" t="s">
        <v>150</v>
      </c>
      <c r="B134" s="89">
        <f>IFERROR(VLOOKUP($B$3,#REF!,MATCH("基础"&amp;A134,#REF!,0),0),0)</f>
        <v>0</v>
      </c>
      <c r="C134" s="75" cm="1">
        <f t="array" ref="C134">B134*SUM(1,IFERROR(_xlfn.MAP(($J$126:$J$129+1)/IF($G$126:$G$129="金",11,IF($G$126:$G$129="绿",4,6)),_xlfn.LAMBDA(_xlpm.a,IF(_xlpm.a&gt;1,1,_xlpm.a)))*_xlfn.MAP($E$126:$E$129,_xlfn.LAMBDA(_xlpm.b,INDEX(武器MOD表[],MATCH(1,(武器MOD表[名称]=_xlpm.b)*(武器MOD表[类型]=$A$123),0),MATCH(A134,武器MOD表[#Headers],0)))),0),IFERROR(BUFF层数乘数*VLOOKUP(BUFF,BUFF表[],MATCH(A134,BUFF表[#Headers],0),0),0),IFERROR(BUFF层数乘数*VLOOKUP(BUFF,BUFF表[],MATCH(IF($A$123="同律远程","远程","近战")&amp;A134,BUFF表[#Headers],0),0),0))</f>
        <v>0</v>
      </c>
      <c r="D134" s="76">
        <f>(E$139-T134)/T134</f>
        <v>-1</v>
      </c>
      <c r="E134" s="69" t="s">
        <v>109</v>
      </c>
      <c r="F134" s="102" t="str">
        <f ca="1">IFERROR(OFFSET($E$19,MATCH($E134,BUFF,0)-1,COLUMNS($F134:F134)+1),"")</f>
        <v>暴击</v>
      </c>
      <c r="G134" s="103">
        <f ca="1">IFERROR(OFFSET($E$19,MATCH($E134,BUFF,0)-1,COLUMNS($F134:G134)+1),"")</f>
        <v>0.75</v>
      </c>
      <c r="H134" s="102" t="str">
        <f ca="1">IFERROR(OFFSET($E$19,MATCH($E134,BUFF,0)-1,COLUMNS($F134:H134)+1),"")</f>
        <v/>
      </c>
      <c r="I134" s="103" t="str">
        <f ca="1">IFERROR(OFFSET($E$19,MATCH($E134,BUFF,0)-1,COLUMNS($F134:I134)+1),"")</f>
        <v/>
      </c>
      <c r="J134" s="102" t="str">
        <f ca="1">IFERROR(OFFSET($E$19,MATCH($E134,BUFF,0)-1,COLUMNS($F134:J134)+1),"")</f>
        <v/>
      </c>
      <c r="K134" s="103" t="str">
        <f ca="1">IFERROR(OFFSET($E$19,MATCH($E134,BUFF,0)-1,COLUMNS($F134:K134)+1),"")</f>
        <v/>
      </c>
      <c r="L134" s="102" t="str">
        <f ca="1">IFERROR(OFFSET($E$19,MATCH($E134,BUFF,0)-1,COLUMNS($F134:L134)+1),"")</f>
        <v/>
      </c>
      <c r="M134" s="103" t="str">
        <f ca="1">IFERROR(OFFSET($E$19,MATCH($E134,BUFF,0)-1,COLUMNS($F134:M134)+1),"")</f>
        <v/>
      </c>
      <c r="N134" s="105" t="str">
        <f>IFERROR(VLOOKUP(E134,BUFF表[],MATCH("描述",BUFF表[#Headers],0),0),"")</f>
        <v>光属性角色周围的敌人受到武器伤害时，暴击率提高60%，对带有额外效果负面状态的目标额外提高15%。</v>
      </c>
      <c r="O134" s="105"/>
      <c r="P134" s="105"/>
      <c r="Q134" s="105"/>
      <c r="R134" s="105"/>
      <c r="S134" s="105"/>
      <c r="T134" s="20" cm="1">
        <f t="array" ref="T134">$B$140*AE134*触发乘区(同律伤害类型,V134,U134+V134,Y134)*(V134+U134*(1-敌方抗性+AH134))*昂扬背水乘区(AF134,AG134)*防御乘区(AI134)*Z134*AA134/基础同律多重*PRODUCT(AB134:AD134+1)*(1+W134*(X134-1))</f>
        <v>35280064.0591715</v>
      </c>
      <c r="U134" s="20" cm="1">
        <f t="array" ref="U134">删BUFF取角色属性(V$132,MATCH($E134,BUFF,0))*(1+删BUFF取角色属性("属性伤",MATCH($E134,BUFF,0)))</f>
        <v>6096.68763763837</v>
      </c>
      <c r="V134" s="20" cm="1">
        <f t="array" ref="V134">删BUFF取同律属性(V$132,MATCH($E134,BUFF,0))*(1+删BUFF取同律属性("物理",MATCH($E134,BUFF,0)))</f>
        <v>90.372</v>
      </c>
      <c r="W134" s="23" cm="1">
        <f t="array" ref="W134">删BUFF取同律属性(W$132,MATCH($E134,BUFF,0))*(1+删BUFF取同律属性("物理",MATCH($E134,BUFF,0)))</f>
        <v>0.462</v>
      </c>
      <c r="X134" s="23" cm="1">
        <f t="array" ref="X134">删BUFF取同律属性(X$132,MATCH($E134,BUFF,0))*(1+删BUFF取同律属性("物理",MATCH($E134,BUFF,0)))</f>
        <v>1</v>
      </c>
      <c r="Y134" s="23" cm="1">
        <f t="array" ref="Y134">删BUFF取同律属性(Y$132,MATCH($E134,BUFF,0))*(1+删BUFF取同律属性("物理",MATCH($E134,BUFF,0)))</f>
        <v>0.2</v>
      </c>
      <c r="Z134" s="42" cm="1">
        <f t="array" ref="Z134">删BUFF取同律属性(Z$132,MATCH($E134,BUFF,0))*(1+删BUFF取同律属性("物理",MATCH($E134,BUFF,0)))</f>
        <v>6</v>
      </c>
      <c r="AA134" s="42" cm="1">
        <f t="array" ref="AA134">删BUFF取同律属性(AA$132,MATCH($E134,BUFF,0))*(1+删BUFF取同律属性("物理",MATCH($E134,BUFF,0)))</f>
        <v>1</v>
      </c>
      <c r="AB134" s="23" cm="1">
        <f t="array" ref="AB134">删BUFF取同律属性(AB$132,MATCH($E134,BUFF,0))*(1+删BUFF取同律属性("物理",MATCH($E134,BUFF,0)))</f>
        <v>2.75</v>
      </c>
      <c r="AC134" s="23" cm="1">
        <f t="array" ref="AC134">删BUFF取同律属性(AC$132,MATCH($E134,BUFF,0))*(1+删BUFF取同律属性("物理",MATCH($E134,BUFF,0)))</f>
        <v>0</v>
      </c>
      <c r="AD134" s="23" cm="1">
        <f t="array" ref="AD134">删BUFF取同律属性(AD$132,MATCH($E134,BUFF,0))*(1+删BUFF取同律属性("物理",MATCH($E134,BUFF,0)))</f>
        <v>0.6</v>
      </c>
      <c r="AE134" s="23" cm="1">
        <f t="array" ref="AE134">删BUFF取同律属性(AE$132,MATCH($E134,BUFF,0))*(1+删BUFF取同律属性("物理",MATCH($E134,BUFF,0)))</f>
        <v>8.01554</v>
      </c>
      <c r="AF134" s="23" cm="1">
        <f t="array" ref="AF134">删BUFF取同律属性(AF$132,MATCH($E134,BUFF,0))*(1+删BUFF取同律属性("物理",MATCH($E134,BUFF,0)))</f>
        <v>0</v>
      </c>
      <c r="AG134" s="23" cm="1">
        <f t="array" ref="AG134">删BUFF取同律属性(AG$132,MATCH($E134,BUFF,0))*(1+删BUFF取同律属性("物理",MATCH($E134,BUFF,0)))</f>
        <v>0.83008</v>
      </c>
      <c r="AH134" s="23" cm="1">
        <f t="array" ref="AH134">删BUFF取同律属性(AH$132,MATCH($E134,BUFF,0))*(1+删BUFF取同律属性("物理",MATCH($E134,BUFF,0)))</f>
        <v>0.24</v>
      </c>
      <c r="AI134" s="23" cm="1">
        <f t="array" ref="AI134">删BUFF取同律属性(AI$132,MATCH($E134,BUFF,0))*(1+删BUFF取同律属性("物理",MATCH($E134,BUFF,0)))</f>
        <v>0</v>
      </c>
    </row>
    <row r="135" spans="1:35">
      <c r="A135" s="68" t="s">
        <v>64</v>
      </c>
      <c r="B135" s="93">
        <v>0</v>
      </c>
      <c r="C135" s="93" cm="1">
        <f t="array" ref="C135">B135*SUM(1,IFERROR(_xlfn.MAP(($J$126:$J$129+1)/IF($G$126:$G$129="金",11,IF($G$126:$G$129="绿",4,6)),_xlfn.LAMBDA(_xlpm.a,IF(_xlpm.a&gt;1,1,_xlpm.a)))*_xlfn.MAP($E$126:$E$129,_xlfn.LAMBDA(_xlpm.b,INDEX(武器MOD表[],MATCH(1,(武器MOD表[名称]=_xlpm.b)*(武器MOD表[类型]=$A$123),0),MATCH(A135,武器MOD表[#Headers],0)))),0),IFERROR(BUFF层数乘数*VLOOKUP(BUFF,BUFF表[],MATCH(A135,BUFF表[#Headers],0),0),0),IFERROR(BUFF层数乘数*VLOOKUP(BUFF,BUFF表[],MATCH(IF($A$123="同律远程","远程","近战")&amp;A135,BUFF表[#Headers],0),0),0))</f>
        <v>0</v>
      </c>
      <c r="D135" s="76">
        <f>(E$139-T135)/T135</f>
        <v>-1</v>
      </c>
      <c r="E135" s="69"/>
      <c r="F135" s="102" t="str">
        <f ca="1">IFERROR(OFFSET($E$19,MATCH($E135,BUFF,0)-1,COLUMNS($F135:F135)+1),"")</f>
        <v/>
      </c>
      <c r="G135" s="103" t="str">
        <f ca="1">IFERROR(OFFSET($E$19,MATCH($E135,BUFF,0)-1,COLUMNS($F135:G135)+1),"")</f>
        <v/>
      </c>
      <c r="H135" s="102" t="str">
        <f ca="1">IFERROR(OFFSET($E$19,MATCH($E135,BUFF,0)-1,COLUMNS($F135:H135)+1),"")</f>
        <v/>
      </c>
      <c r="I135" s="103" t="str">
        <f ca="1">IFERROR(OFFSET($E$19,MATCH($E135,BUFF,0)-1,COLUMNS($F135:I135)+1),"")</f>
        <v/>
      </c>
      <c r="J135" s="102" t="str">
        <f ca="1">IFERROR(OFFSET($E$19,MATCH($E135,BUFF,0)-1,COLUMNS($F135:J135)+1),"")</f>
        <v/>
      </c>
      <c r="K135" s="103" t="str">
        <f ca="1">IFERROR(OFFSET($E$19,MATCH($E135,BUFF,0)-1,COLUMNS($F135:K135)+1),"")</f>
        <v/>
      </c>
      <c r="L135" s="102" t="str">
        <f ca="1">IFERROR(OFFSET($E$19,MATCH($E135,BUFF,0)-1,COLUMNS($F135:L135)+1),"")</f>
        <v/>
      </c>
      <c r="M135" s="103" t="str">
        <f ca="1">IFERROR(OFFSET($E$19,MATCH($E135,BUFF,0)-1,COLUMNS($F135:M135)+1),"")</f>
        <v/>
      </c>
      <c r="N135" s="105" t="str">
        <f>IFERROR(VLOOKUP(E135,BUFF表[],MATCH("描述",BUFF表[#Headers],0),0),"")</f>
        <v/>
      </c>
      <c r="O135" s="105"/>
      <c r="P135" s="105"/>
      <c r="Q135" s="105"/>
      <c r="R135" s="105"/>
      <c r="S135" s="105"/>
      <c r="T135" s="20" cm="1">
        <f t="array" ref="T135">$B$140*AE135*触发乘区(同律伤害类型,V135,U135+V135,Y135)*(V135+U135*(1-敌方抗性+AH135))*昂扬背水乘区(AF135,AG135)*防御乘区(AI135)*Z135*AA135/基础同律多重*PRODUCT(AB135:AD135+1)*(1+W135*(X135-1))</f>
        <v>35280064.0591715</v>
      </c>
      <c r="U135" s="20" cm="1">
        <f t="array" ref="U135">删BUFF取角色属性(V$132,MATCH($E135,BUFF,0))*(1+删BUFF取角色属性("属性伤",MATCH($E135,BUFF,0)))</f>
        <v>6096.68763763837</v>
      </c>
      <c r="V135" s="20" cm="1">
        <f t="array" ref="V135">删BUFF取同律属性(V$132,MATCH($E135,BUFF,0))*(1+删BUFF取同律属性("物理",MATCH($E135,BUFF,0)))</f>
        <v>90.372</v>
      </c>
      <c r="W135" s="23" cm="1">
        <f t="array" ref="W135">删BUFF取同律属性(W$132,MATCH($E135,BUFF,0))*(1+删BUFF取同律属性("物理",MATCH($E135,BUFF,0)))</f>
        <v>0.7095</v>
      </c>
      <c r="X135" s="23" cm="1">
        <f t="array" ref="X135">删BUFF取同律属性(X$132,MATCH($E135,BUFF,0))*(1+删BUFF取同律属性("物理",MATCH($E135,BUFF,0)))</f>
        <v>1</v>
      </c>
      <c r="Y135" s="23" cm="1">
        <f t="array" ref="Y135">删BUFF取同律属性(Y$132,MATCH($E135,BUFF,0))*(1+删BUFF取同律属性("物理",MATCH($E135,BUFF,0)))</f>
        <v>0.2</v>
      </c>
      <c r="Z135" s="42" cm="1">
        <f t="array" ref="Z135">删BUFF取同律属性(Z$132,MATCH($E135,BUFF,0))*(1+删BUFF取同律属性("物理",MATCH($E135,BUFF,0)))</f>
        <v>6</v>
      </c>
      <c r="AA135" s="42" cm="1">
        <f t="array" ref="AA135">删BUFF取同律属性(AA$132,MATCH($E135,BUFF,0))*(1+删BUFF取同律属性("物理",MATCH($E135,BUFF,0)))</f>
        <v>1</v>
      </c>
      <c r="AB135" s="23" cm="1">
        <f t="array" ref="AB135">删BUFF取同律属性(AB$132,MATCH($E135,BUFF,0))*(1+删BUFF取同律属性("物理",MATCH($E135,BUFF,0)))</f>
        <v>2.75</v>
      </c>
      <c r="AC135" s="23" cm="1">
        <f t="array" ref="AC135">删BUFF取同律属性(AC$132,MATCH($E135,BUFF,0))*(1+删BUFF取同律属性("物理",MATCH($E135,BUFF,0)))</f>
        <v>0</v>
      </c>
      <c r="AD135" s="23" cm="1">
        <f t="array" ref="AD135">删BUFF取同律属性(AD$132,MATCH($E135,BUFF,0))*(1+删BUFF取同律属性("物理",MATCH($E135,BUFF,0)))</f>
        <v>0.6</v>
      </c>
      <c r="AE135" s="23" cm="1">
        <f t="array" ref="AE135">删BUFF取同律属性(AE$132,MATCH($E135,BUFF,0))*(1+删BUFF取同律属性("物理",MATCH($E135,BUFF,0)))</f>
        <v>8.01554</v>
      </c>
      <c r="AF135" s="23" cm="1">
        <f t="array" ref="AF135">删BUFF取同律属性(AF$132,MATCH($E135,BUFF,0))*(1+删BUFF取同律属性("物理",MATCH($E135,BUFF,0)))</f>
        <v>0</v>
      </c>
      <c r="AG135" s="23" cm="1">
        <f t="array" ref="AG135">删BUFF取同律属性(AG$132,MATCH($E135,BUFF,0))*(1+删BUFF取同律属性("物理",MATCH($E135,BUFF,0)))</f>
        <v>0.83008</v>
      </c>
      <c r="AH135" s="23" cm="1">
        <f t="array" ref="AH135">删BUFF取同律属性(AH$132,MATCH($E135,BUFF,0))*(1+删BUFF取同律属性("物理",MATCH($E135,BUFF,0)))</f>
        <v>0.24</v>
      </c>
      <c r="AI135" s="23" cm="1">
        <f t="array" ref="AI135">删BUFF取同律属性(AI$132,MATCH($E135,BUFF,0))*(1+删BUFF取同律属性("物理",MATCH($E135,BUFF,0)))</f>
        <v>0</v>
      </c>
    </row>
    <row r="136" spans="1:35">
      <c r="A136" s="68" t="s">
        <v>172</v>
      </c>
      <c r="B136" s="93">
        <v>1</v>
      </c>
      <c r="C136" s="75" cm="1">
        <f t="array" ref="C136">B136*SUM(1,IFERROR(_xlfn.MAP(($J$126:$J$129+1)/IF($G$126:$G$129="金",11,IF($G$126:$G$129="绿",4,6)),_xlfn.LAMBDA(_xlpm.a,IF(_xlpm.a&gt;1,1,_xlpm.a)))*_xlfn.MAP($E$126:$E$129,_xlfn.LAMBDA(_xlpm.b,INDEX(武器MOD表[],MATCH(1,(武器MOD表[名称]=_xlpm.b)*(武器MOD表[类型]=$A$123),0),MATCH(A136,武器MOD表[#Headers],0)))),0),IFERROR(BUFF层数乘数*VLOOKUP(BUFF,BUFF表[],MATCH(A136,BUFF表[#Headers],0),0),0),IFERROR(BUFF层数乘数*VLOOKUP(BUFF,BUFF表[],MATCH(IF($A$123="同律远程","远程","近战")&amp;A136,BUFF表[#Headers],0),0),0))</f>
        <v>1</v>
      </c>
      <c r="D136" s="76">
        <f>(E$139-T136)/T136</f>
        <v>-1</v>
      </c>
      <c r="E136" s="69"/>
      <c r="F136" s="102" t="str">
        <f ca="1">IFERROR(OFFSET($E$19,MATCH($E136,BUFF,0)-1,COLUMNS($F136:F136)+1),"")</f>
        <v/>
      </c>
      <c r="G136" s="103" t="str">
        <f ca="1">IFERROR(OFFSET($E$19,MATCH($E136,BUFF,0)-1,COLUMNS($F136:G136)+1),"")</f>
        <v/>
      </c>
      <c r="H136" s="102" t="str">
        <f ca="1">IFERROR(OFFSET($E$19,MATCH($E136,BUFF,0)-1,COLUMNS($F136:H136)+1),"")</f>
        <v/>
      </c>
      <c r="I136" s="103" t="str">
        <f ca="1">IFERROR(OFFSET($E$19,MATCH($E136,BUFF,0)-1,COLUMNS($F136:I136)+1),"")</f>
        <v/>
      </c>
      <c r="J136" s="102" t="str">
        <f ca="1">IFERROR(OFFSET($E$19,MATCH($E136,BUFF,0)-1,COLUMNS($F136:J136)+1),"")</f>
        <v/>
      </c>
      <c r="K136" s="103" t="str">
        <f ca="1">IFERROR(OFFSET($E$19,MATCH($E136,BUFF,0)-1,COLUMNS($F136:K136)+1),"")</f>
        <v/>
      </c>
      <c r="L136" s="102" t="str">
        <f ca="1">IFERROR(OFFSET($E$19,MATCH($E136,BUFF,0)-1,COLUMNS($F136:L136)+1),"")</f>
        <v/>
      </c>
      <c r="M136" s="103" t="str">
        <f ca="1">IFERROR(OFFSET($E$19,MATCH($E136,BUFF,0)-1,COLUMNS($F136:M136)+1),"")</f>
        <v/>
      </c>
      <c r="N136" s="105" t="str">
        <f>IFERROR(VLOOKUP(E136,BUFF表[],MATCH("描述",BUFF表[#Headers],0),0),"")</f>
        <v/>
      </c>
      <c r="O136" s="105"/>
      <c r="P136" s="105"/>
      <c r="Q136" s="105"/>
      <c r="R136" s="105"/>
      <c r="S136" s="105"/>
      <c r="T136" s="20" cm="1">
        <f t="array" ref="T136">$B$140*AE136*触发乘区(同律伤害类型,V136,U136+V136,Y136)*(V136+U136*(1-敌方抗性+AH136))*昂扬背水乘区(AF136,AG136)*防御乘区(AI136)*Z136*AA136/基础同律多重*PRODUCT(AB136:AD136+1)*(1+W136*(X136-1))</f>
        <v>35280064.0591715</v>
      </c>
      <c r="U136" s="20" cm="1">
        <f t="array" ref="U136">删BUFF取角色属性(V$132,MATCH($E136,BUFF,0))*(1+删BUFF取角色属性("属性伤",MATCH($E136,BUFF,0)))</f>
        <v>6096.68763763837</v>
      </c>
      <c r="V136" s="20" cm="1">
        <f t="array" ref="V136">删BUFF取同律属性(V$132,MATCH($E136,BUFF,0))*(1+删BUFF取同律属性("物理",MATCH($E136,BUFF,0)))</f>
        <v>90.372</v>
      </c>
      <c r="W136" s="23" cm="1">
        <f t="array" ref="W136">删BUFF取同律属性(W$132,MATCH($E136,BUFF,0))*(1+删BUFF取同律属性("物理",MATCH($E136,BUFF,0)))</f>
        <v>0.7095</v>
      </c>
      <c r="X136" s="23" cm="1">
        <f t="array" ref="X136">删BUFF取同律属性(X$132,MATCH($E136,BUFF,0))*(1+删BUFF取同律属性("物理",MATCH($E136,BUFF,0)))</f>
        <v>1</v>
      </c>
      <c r="Y136" s="23" cm="1">
        <f t="array" ref="Y136">删BUFF取同律属性(Y$132,MATCH($E136,BUFF,0))*(1+删BUFF取同律属性("物理",MATCH($E136,BUFF,0)))</f>
        <v>0.2</v>
      </c>
      <c r="Z136" s="42" cm="1">
        <f t="array" ref="Z136">删BUFF取同律属性(Z$132,MATCH($E136,BUFF,0))*(1+删BUFF取同律属性("物理",MATCH($E136,BUFF,0)))</f>
        <v>6</v>
      </c>
      <c r="AA136" s="42" cm="1">
        <f t="array" ref="AA136">删BUFF取同律属性(AA$132,MATCH($E136,BUFF,0))*(1+删BUFF取同律属性("物理",MATCH($E136,BUFF,0)))</f>
        <v>1</v>
      </c>
      <c r="AB136" s="23" cm="1">
        <f t="array" ref="AB136">删BUFF取同律属性(AB$132,MATCH($E136,BUFF,0))*(1+删BUFF取同律属性("物理",MATCH($E136,BUFF,0)))</f>
        <v>2.75</v>
      </c>
      <c r="AC136" s="23" cm="1">
        <f t="array" ref="AC136">删BUFF取同律属性(AC$132,MATCH($E136,BUFF,0))*(1+删BUFF取同律属性("物理",MATCH($E136,BUFF,0)))</f>
        <v>0</v>
      </c>
      <c r="AD136" s="23" cm="1">
        <f t="array" ref="AD136">删BUFF取同律属性(AD$132,MATCH($E136,BUFF,0))*(1+删BUFF取同律属性("物理",MATCH($E136,BUFF,0)))</f>
        <v>0.6</v>
      </c>
      <c r="AE136" s="23" cm="1">
        <f t="array" ref="AE136">删BUFF取同律属性(AE$132,MATCH($E136,BUFF,0))*(1+删BUFF取同律属性("物理",MATCH($E136,BUFF,0)))</f>
        <v>8.01554</v>
      </c>
      <c r="AF136" s="23" cm="1">
        <f t="array" ref="AF136">删BUFF取同律属性(AF$132,MATCH($E136,BUFF,0))*(1+删BUFF取同律属性("物理",MATCH($E136,BUFF,0)))</f>
        <v>0</v>
      </c>
      <c r="AG136" s="23" cm="1">
        <f t="array" ref="AG136">删BUFF取同律属性(AG$132,MATCH($E136,BUFF,0))*(1+删BUFF取同律属性("物理",MATCH($E136,BUFF,0)))</f>
        <v>0.83008</v>
      </c>
      <c r="AH136" s="23" cm="1">
        <f t="array" ref="AH136">删BUFF取同律属性(AH$132,MATCH($E136,BUFF,0))*(1+删BUFF取同律属性("物理",MATCH($E136,BUFF,0)))</f>
        <v>0.24</v>
      </c>
      <c r="AI136" s="23" cm="1">
        <f t="array" ref="AI136">删BUFF取同律属性(AI$132,MATCH($E136,BUFF,0))*(1+删BUFF取同律属性("物理",MATCH($E136,BUFF,0)))</f>
        <v>0</v>
      </c>
    </row>
    <row r="137" spans="1:4">
      <c r="A137" s="83" t="s">
        <v>159</v>
      </c>
      <c r="B137" s="75">
        <f>B129+$C$7</f>
        <v>6096.68763763837</v>
      </c>
      <c r="C137" s="75">
        <f>C128+$C$7</f>
        <v>6096.68763763837</v>
      </c>
      <c r="D137" s="79" cm="1">
        <f t="array" ref="D137">PRODUCT(D133:D136+1)-1</f>
        <v>-1</v>
      </c>
    </row>
    <row r="138" spans="1:7">
      <c r="A138" s="68" t="s">
        <v>178</v>
      </c>
      <c r="B138" s="163" t="s">
        <v>175</v>
      </c>
      <c r="C138" s="86">
        <v>10</v>
      </c>
      <c r="D138" s="124" t="s">
        <v>121</v>
      </c>
      <c r="E138" s="131"/>
      <c r="F138" s="131"/>
      <c r="G138" s="68" t="str">
        <f>IF(A123="同律近战","每次","每弹片")</f>
        <v>每弹片</v>
      </c>
    </row>
    <row r="139" spans="1:7">
      <c r="A139" s="68" t="s">
        <v>162</v>
      </c>
      <c r="B139" s="85" t="s">
        <v>163</v>
      </c>
      <c r="C139" s="139">
        <f>IF(ISNUMBER(FIND("蓄力攻击",B138)),IF(B139="S",8,IF(B139="A",5,IF(B139="B",4,IF(B139="C",2,1)))),1)</f>
        <v>1</v>
      </c>
      <c r="D139" s="142" t="s">
        <v>167</v>
      </c>
      <c r="E139" s="119" cm="1">
        <f t="array" ref="E139">触发乘区(同律伤害类型,同律攻击,(同律攻击+角色攻击*(1-敌方抗性+属性穿透)),同律触发)*F144</f>
        <v>0</v>
      </c>
      <c r="F139" s="119"/>
      <c r="G139" s="151" t="e">
        <f>ROUNDDOWN(E139/同律攻速/(1+C$144)/IF($B$127="弹道",同律多重/基础同律多重,1),0)</f>
        <v>#DIV/0!</v>
      </c>
    </row>
    <row r="140" spans="1:7">
      <c r="A140" s="68" t="s">
        <v>100</v>
      </c>
      <c r="B140" s="164" cm="1">
        <f t="array" ref="B140">IFERROR(_xlfn.MAP(INDEX(同律倍率表[],MATCH(1,(同律倍率表[名称]=B$138)*(同律倍率表[等级]=1),0),MATCH(A140,同律倍率表[#Headers],0)),INDEX(同律倍率表[],MATCH(1,(同律倍率表[名称]=B$138)*(同律倍率表[等级]=10),0),MATCH(A140,同律倍率表[#Headers],0)),_xlfn.LAMBDA(_xlpm.a,_xlpm.b,_xlpm.a*(1+(_xlpm.b/_xlpm.a-1)/9*(C$138-1)))),0)</f>
        <v>1.33</v>
      </c>
      <c r="C140" s="161">
        <f>B140*$C$12</f>
        <v>10.6606682</v>
      </c>
      <c r="D140" s="142"/>
      <c r="E140" s="119"/>
      <c r="F140" s="119"/>
      <c r="G140" s="152"/>
    </row>
    <row r="141" spans="1:7">
      <c r="A141" s="83" t="s">
        <v>165</v>
      </c>
      <c r="B141" s="147" cm="1">
        <f t="array" ref="B141">IFERROR(INDEX(同律倍率表[攻击段数],MATCH(1,(同律倍率表[武器名称]=B123)*(同律倍率表[名称]=B138),0)),1)</f>
        <v>1</v>
      </c>
      <c r="C141" s="148"/>
      <c r="D141" s="142"/>
      <c r="E141" s="119"/>
      <c r="F141" s="119"/>
      <c r="G141" s="153"/>
    </row>
    <row r="142" ht="15.75" spans="1:7">
      <c r="A142" s="68" t="s">
        <v>67</v>
      </c>
      <c r="B142" s="78">
        <f>$C$18+$C$20</f>
        <v>2.75</v>
      </c>
      <c r="C142" s="78" cm="1">
        <f t="array" ref="C142">B142+SUM(IFERROR(_xlfn.MAP(($J$126:$J$129+1)/IF($G$126:$G$129="金",11,IF($G$126:$G$129="绿",4,6)),_xlfn.LAMBDA(_xlpm.a,IF(_xlpm.a&gt;1,1,_xlpm.a)))*INDEX(_xlfn._xlws.FILTER(武器MOD表[],ISNUMBER(MATCH(武器MOD表[名称],$E$126:$E$129,0))*(武器MOD表[类型]=$A$123)),,MATCH(A142,武器MOD表[#Headers],0)),0))</f>
        <v>2.75</v>
      </c>
      <c r="D142" s="143" t="s">
        <v>168</v>
      </c>
      <c r="E142" s="154" t="str">
        <f>IF(B131=0,"未暴击",B131&amp;"级暴击")</f>
        <v>未暴击</v>
      </c>
      <c r="F142" s="155" cm="1">
        <f t="array" ref="F142">同律倍率*(同律攻击+角色攻击*(1-敌方抗性+属性穿透))*昂扬背水乘区(昂扬,背水)*防御乘区(无视防御)*同律攻速*同律多重/基础同律多重*PRODUCT($C$142:$C$144+1)*C131</f>
        <v>0</v>
      </c>
      <c r="G142" s="156" t="e">
        <f>ROUNDDOWN(F142/同律攻速/(1+C$144)/IF($B$127="弹道",同律多重/基础同律多重,1),0)&amp;REPT("!",$B$131)</f>
        <v>#DIV/0!</v>
      </c>
    </row>
    <row r="143" ht="15.75" spans="1:7">
      <c r="A143" s="68" t="s">
        <v>70</v>
      </c>
      <c r="B143" s="78">
        <f>$C$19</f>
        <v>0</v>
      </c>
      <c r="C143" s="78" cm="1">
        <f t="array" ref="C143">PRODUCT(B143+1,IFERROR(_xlfn.MAP(($J$126:$J$129+1)/IF($G$126:$G$129="金",11,IF($G$126:$G$129="绿",4,6)),_xlfn.LAMBDA(_xlpm.a,IF(_xlpm.a&gt;1,1,_xlpm.a)))*INDEX(_xlfn._xlws.FILTER(武器MOD表[],ISNUMBER(MATCH(武器MOD表[名称],$E$126:$E$129,0))*(武器MOD表[类型]=$A$123)),,MATCH(A143,武器MOD表[#Headers],0)),0)+1)-1</f>
        <v>0</v>
      </c>
      <c r="D143" s="144"/>
      <c r="E143" s="154" t="str">
        <f>IF(B132=0,"未暴击",B132&amp;"级暴击")</f>
        <v>未暴击</v>
      </c>
      <c r="F143" s="155">
        <f>F142/C131*C132</f>
        <v>0</v>
      </c>
      <c r="G143" s="157" t="e">
        <f>ROUNDDOWN(F143/同律攻速/(1+C$144)/IF($B$127="弹道",同律多重/基础同律多重,1),0)&amp;REPT("!",$B$132)</f>
        <v>#DIV/0!</v>
      </c>
    </row>
    <row r="144" ht="15.75" spans="1:7">
      <c r="A144" s="68" t="s">
        <v>151</v>
      </c>
      <c r="B144" s="78">
        <v>0</v>
      </c>
      <c r="C144" s="78" cm="1">
        <f t="array" ref="C144">SUM(B144,IFERROR(_xlfn.MAP(($J$7:$J$14+1)/IF($G$7:$G$14="金",11,IF($G$7:$G$14="绿",4,6)),_xlfn.LAMBDA(_xlpm.a,IF(_xlpm.a&gt;1,1,_xlpm.a)))*_xlfn.MAP(角色MOD,_xlfn.LAMBDA(_xlpm.x,IF(ISNUMBER(MATCH(VLOOKUP(_xlpm.x,角色MOD表[],MATCH("系列",角色MOD表[#Headers],0),0),{"百首","狮鹫","契约者"},0)),1+SUM(IFERROR(BUFF层数乘数*VLOOKUP(BUFF,BUFF表[],MATCH("MOD属性",BUFF表[#Headers],0),0),0)),1)))*VLOOKUP(角色MOD,角色MOD表[],MATCH(AD$106,角色MOD表[#Headers],0),0),0),IFERROR(_xlfn.MAP(($J$95:$J$102+1)/IF($G$95:$G$102="金",11,IF($G$95:$G$102="绿",4,6)),_xlfn.LAMBDA(_xlpm.a,IF(_xlpm.a&gt;1,1,_xlpm.a)))*_xlfn.MAP($E$95:$E$102,_xlfn.LAMBDA(_xlpm.b,INDEX(武器MOD表[],MATCH(1,(武器MOD表[名称]=_xlpm.b)*(武器MOD表[类型]=$A$92),0),MATCH(AD$106,武器MOD表[#Headers],0)))),0),IFERROR(BUFF层数乘数*VLOOKUP(BUFF,BUFF表[],MATCH(A144,BUFF表[#Headers],0),0),0))</f>
        <v>0.6</v>
      </c>
      <c r="D144" s="145"/>
      <c r="E144" s="154" t="s">
        <v>169</v>
      </c>
      <c r="F144" s="155">
        <f>F142/C131*(1+C129*(C130-1))</f>
        <v>0</v>
      </c>
      <c r="G144" s="156" t="e">
        <f>ROUNDDOWN(F144/同律攻速/(1+C$144)/IF($B$127="弹道",同律多重/基础同律多重,1),0)</f>
        <v>#DIV/0!</v>
      </c>
    </row>
    <row r="145" customHeight="1" spans="4:7">
      <c r="D145" s="143" t="s">
        <v>149</v>
      </c>
      <c r="E145" s="154" t="str">
        <f>IF(B131=0,"未暴击",B131&amp;"级暴击")</f>
        <v>未暴击</v>
      </c>
      <c r="F145" s="155" cm="1">
        <f t="array" ref="F145">触发乘区(同律伤害类型,同律攻击,(同律攻击+角色攻击*(1-敌方抗性+属性穿透)),1)*F142</f>
        <v>0</v>
      </c>
      <c r="G145" s="156" t="e">
        <f>ROUNDDOWN(F145/同律攻速/(1+C$144)/IF($B$127="弹道",同律多重/基础同律多重,1),0)&amp;REPT("!",$B$131)</f>
        <v>#DIV/0!</v>
      </c>
    </row>
    <row r="146" customHeight="1" spans="4:7">
      <c r="D146" s="144"/>
      <c r="E146" s="154" t="str">
        <f>IF(B132=0,"未暴击",B132&amp;"级暴击")</f>
        <v>未暴击</v>
      </c>
      <c r="F146" s="155" cm="1">
        <f t="array" ref="F146">触发乘区(同律伤害类型,同律攻击,(同律攻击+角色攻击*(1-敌方抗性+属性穿透)),1)*F143</f>
        <v>0</v>
      </c>
      <c r="G146" s="156" t="e">
        <f>ROUNDDOWN(F146/同律攻速/(1+C$144)/IF($B$127="弹道",同律多重/基础同律多重,1),0)&amp;REPT("!",$B$132)</f>
        <v>#DIV/0!</v>
      </c>
    </row>
    <row r="147" customHeight="1" spans="4:7">
      <c r="D147" s="145"/>
      <c r="E147" s="154" t="s">
        <v>169</v>
      </c>
      <c r="F147" s="155" cm="1">
        <f t="array" ref="F147">触发乘区(同律伤害类型,同律攻击,(同律攻击+角色攻击*(1-敌方抗性+属性穿透)),1)*F144</f>
        <v>0</v>
      </c>
      <c r="G147" s="156" t="e">
        <f>ROUNDDOWN(F147/同律攻速/(1+C$144)/IF($B$127="弹道",同律多重/基础同律多重,1),0)</f>
        <v>#DIV/0!</v>
      </c>
    </row>
    <row r="148" customHeight="1"/>
    <row r="149" customHeight="1"/>
    <row r="150" customHeight="1"/>
    <row r="151" customHeight="1"/>
    <row r="152" customHeight="1"/>
    <row r="153" customHeight="1"/>
    <row r="154" customHeight="1"/>
    <row r="155" customHeight="1"/>
    <row r="156" customHeight="1"/>
    <row r="157" customHeight="1"/>
    <row r="158" customHeight="1"/>
    <row r="159" customHeight="1"/>
    <row r="160" customHeight="1"/>
    <row r="161" customHeight="1"/>
    <row r="162" customHeight="1"/>
  </sheetData>
  <sheetProtection formatCells="0" insertHyperlinks="0" autoFilter="0"/>
  <mergeCells count="115">
    <mergeCell ref="A5:C5"/>
    <mergeCell ref="D5:S5"/>
    <mergeCell ref="T5:AF5"/>
    <mergeCell ref="L6:M6"/>
    <mergeCell ref="N6:O6"/>
    <mergeCell ref="P6:Q6"/>
    <mergeCell ref="R6:S6"/>
    <mergeCell ref="F15:I15"/>
    <mergeCell ref="E16:M16"/>
    <mergeCell ref="D17:M17"/>
    <mergeCell ref="G18:H18"/>
    <mergeCell ref="I18:J18"/>
    <mergeCell ref="K18:L18"/>
    <mergeCell ref="M18:N18"/>
    <mergeCell ref="O18:S18"/>
    <mergeCell ref="O19:S19"/>
    <mergeCell ref="O20:S20"/>
    <mergeCell ref="O21:S21"/>
    <mergeCell ref="O22:S22"/>
    <mergeCell ref="O23:S23"/>
    <mergeCell ref="O24:S24"/>
    <mergeCell ref="O25:S25"/>
    <mergeCell ref="O26:S26"/>
    <mergeCell ref="O27:S27"/>
    <mergeCell ref="O28:S28"/>
    <mergeCell ref="O29:S29"/>
    <mergeCell ref="O30:S30"/>
    <mergeCell ref="O31:S31"/>
    <mergeCell ref="O32:S32"/>
    <mergeCell ref="A38:C38"/>
    <mergeCell ref="D38:M38"/>
    <mergeCell ref="L39:M39"/>
    <mergeCell ref="N39:O39"/>
    <mergeCell ref="P39:Q39"/>
    <mergeCell ref="R39:S39"/>
    <mergeCell ref="A43:B43"/>
    <mergeCell ref="D49:F49"/>
    <mergeCell ref="A61:C61"/>
    <mergeCell ref="D61:S61"/>
    <mergeCell ref="L62:M62"/>
    <mergeCell ref="N62:O62"/>
    <mergeCell ref="P62:Q62"/>
    <mergeCell ref="R62:S62"/>
    <mergeCell ref="F71:I71"/>
    <mergeCell ref="L71:P71"/>
    <mergeCell ref="E72:M72"/>
    <mergeCell ref="D73:M73"/>
    <mergeCell ref="F74:G74"/>
    <mergeCell ref="H74:I74"/>
    <mergeCell ref="J74:K74"/>
    <mergeCell ref="L74:M74"/>
    <mergeCell ref="N74:S74"/>
    <mergeCell ref="N75:S75"/>
    <mergeCell ref="N76:S76"/>
    <mergeCell ref="N77:S77"/>
    <mergeCell ref="N78:S78"/>
    <mergeCell ref="D80:F80"/>
    <mergeCell ref="A93:C93"/>
    <mergeCell ref="D93:S93"/>
    <mergeCell ref="L94:M94"/>
    <mergeCell ref="N94:O94"/>
    <mergeCell ref="P94:Q94"/>
    <mergeCell ref="R94:S94"/>
    <mergeCell ref="B96:C96"/>
    <mergeCell ref="F103:I103"/>
    <mergeCell ref="E104:M104"/>
    <mergeCell ref="D105:M105"/>
    <mergeCell ref="F106:G106"/>
    <mergeCell ref="H106:I106"/>
    <mergeCell ref="J106:K106"/>
    <mergeCell ref="L106:M106"/>
    <mergeCell ref="N106:S106"/>
    <mergeCell ref="N107:S107"/>
    <mergeCell ref="N108:S108"/>
    <mergeCell ref="N109:S109"/>
    <mergeCell ref="N110:S110"/>
    <mergeCell ref="D112:F112"/>
    <mergeCell ref="A124:C124"/>
    <mergeCell ref="D124:S124"/>
    <mergeCell ref="L125:M125"/>
    <mergeCell ref="N125:O125"/>
    <mergeCell ref="P125:Q125"/>
    <mergeCell ref="R125:S125"/>
    <mergeCell ref="B127:C127"/>
    <mergeCell ref="F130:I130"/>
    <mergeCell ref="D131:M131"/>
    <mergeCell ref="F132:G132"/>
    <mergeCell ref="H132:I132"/>
    <mergeCell ref="J132:K132"/>
    <mergeCell ref="L132:M132"/>
    <mergeCell ref="N132:S132"/>
    <mergeCell ref="N133:S133"/>
    <mergeCell ref="N134:S134"/>
    <mergeCell ref="N135:S135"/>
    <mergeCell ref="N136:S136"/>
    <mergeCell ref="D138:F138"/>
    <mergeCell ref="B141:C141"/>
    <mergeCell ref="A40:A41"/>
    <mergeCell ref="D81:D83"/>
    <mergeCell ref="D84:D86"/>
    <mergeCell ref="D87:D89"/>
    <mergeCell ref="D113:D115"/>
    <mergeCell ref="D116:D118"/>
    <mergeCell ref="D119:D121"/>
    <mergeCell ref="D139:D141"/>
    <mergeCell ref="D142:D144"/>
    <mergeCell ref="D145:D147"/>
    <mergeCell ref="G81:G83"/>
    <mergeCell ref="G113:G115"/>
    <mergeCell ref="G139:G141"/>
    <mergeCell ref="B39:C41"/>
    <mergeCell ref="E81:F83"/>
    <mergeCell ref="E113:F115"/>
    <mergeCell ref="A1:S2"/>
    <mergeCell ref="E139:F141"/>
  </mergeCells>
  <conditionalFormatting sqref="F15">
    <cfRule type="expression" dxfId="0" priority="126">
      <formula>SUM(7,I7:I14)&gt;117</formula>
    </cfRule>
  </conditionalFormatting>
  <conditionalFormatting sqref="F130">
    <cfRule type="expression" dxfId="0" priority="130">
      <formula>SUM(I126:I129)&gt;90</formula>
    </cfRule>
  </conditionalFormatting>
  <conditionalFormatting sqref="D7:D14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9:D33">
    <cfRule type="colorScale" priority="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40:D47">
    <cfRule type="colorScale" priority="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51:D57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63:D70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95:D102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07:D110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26:D129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33:D136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40:E44">
    <cfRule type="cellIs" dxfId="1" priority="63" operator="greaterThan">
      <formula>100</formula>
    </cfRule>
  </conditionalFormatting>
  <conditionalFormatting sqref="G75:G78">
    <cfRule type="cellIs" dxfId="1" priority="34" operator="greaterThan">
      <formula>10</formula>
    </cfRule>
  </conditionalFormatting>
  <conditionalFormatting sqref="G107:G110">
    <cfRule type="cellIs" dxfId="1" priority="8" operator="greaterThan">
      <formula>10</formula>
    </cfRule>
  </conditionalFormatting>
  <conditionalFormatting sqref="G133:G136">
    <cfRule type="cellIs" dxfId="1" priority="4" operator="greaterThan">
      <formula>10</formula>
    </cfRule>
  </conditionalFormatting>
  <conditionalFormatting sqref="I40:I47">
    <cfRule type="expression" dxfId="2" priority="64">
      <formula>AND(K40&lt;&gt;"",H40&lt;&gt;"",K40&lt;&gt;H40)</formula>
    </cfRule>
    <cfRule type="expression" dxfId="3" priority="65">
      <formula>AND(H40&lt;&gt;"",K40=H40)</formula>
    </cfRule>
  </conditionalFormatting>
  <conditionalFormatting sqref="I75:I78">
    <cfRule type="cellIs" dxfId="1" priority="11" operator="greaterThan">
      <formula>10</formula>
    </cfRule>
  </conditionalFormatting>
  <conditionalFormatting sqref="I95:I102">
    <cfRule type="expression" dxfId="2" priority="76">
      <formula>AND(K95&lt;&gt;"",H95&lt;&gt;"",K95&lt;&gt;H95)</formula>
    </cfRule>
    <cfRule type="expression" dxfId="3" priority="77">
      <formula>AND(H95&lt;&gt;"",K95=H95)</formula>
    </cfRule>
  </conditionalFormatting>
  <conditionalFormatting sqref="I107:I110">
    <cfRule type="cellIs" dxfId="1" priority="7" operator="greaterThan">
      <formula>10</formula>
    </cfRule>
  </conditionalFormatting>
  <conditionalFormatting sqref="I126:I129">
    <cfRule type="expression" dxfId="2" priority="74">
      <formula>AND(K126&lt;&gt;"",H126&lt;&gt;"",K126&lt;&gt;H126)</formula>
    </cfRule>
    <cfRule type="expression" dxfId="3" priority="75">
      <formula>AND(H126&lt;&gt;"",K126=H126)</formula>
    </cfRule>
  </conditionalFormatting>
  <conditionalFormatting sqref="I133:I136">
    <cfRule type="cellIs" dxfId="1" priority="3" operator="greaterThan">
      <formula>10</formula>
    </cfRule>
  </conditionalFormatting>
  <conditionalFormatting sqref="K75:K78">
    <cfRule type="cellIs" dxfId="1" priority="10" operator="greaterThan">
      <formula>10</formula>
    </cfRule>
  </conditionalFormatting>
  <conditionalFormatting sqref="K107:K110">
    <cfRule type="cellIs" dxfId="1" priority="6" operator="greaterThan">
      <formula>10</formula>
    </cfRule>
  </conditionalFormatting>
  <conditionalFormatting sqref="K133:K136">
    <cfRule type="cellIs" dxfId="1" priority="2" operator="greaterThan">
      <formula>10</formula>
    </cfRule>
  </conditionalFormatting>
  <conditionalFormatting sqref="M75:M78">
    <cfRule type="cellIs" dxfId="1" priority="9" operator="greaterThan">
      <formula>10</formula>
    </cfRule>
  </conditionalFormatting>
  <conditionalFormatting sqref="M107:M110">
    <cfRule type="cellIs" dxfId="1" priority="5" operator="greaterThan">
      <formula>10</formula>
    </cfRule>
  </conditionalFormatting>
  <conditionalFormatting sqref="M133:M136">
    <cfRule type="cellIs" dxfId="1" priority="1" operator="greaterThan">
      <formula>10</formula>
    </cfRule>
  </conditionalFormatting>
  <conditionalFormatting sqref="I7:I14 I63:I70">
    <cfRule type="expression" dxfId="2" priority="102">
      <formula>AND(K7&lt;&gt;"",H7&lt;&gt;"",K7&lt;&gt;H7)</formula>
    </cfRule>
    <cfRule type="expression" dxfId="3" priority="124">
      <formula>AND(H7&lt;&gt;"",K7=H7)</formula>
    </cfRule>
  </conditionalFormatting>
  <conditionalFormatting sqref="H19:H33 J19:J33 L19:L33 N19:N33">
    <cfRule type="cellIs" dxfId="1" priority="66" operator="greaterThan">
      <formula>10</formula>
    </cfRule>
  </conditionalFormatting>
  <conditionalFormatting sqref="F71 F103">
    <cfRule type="expression" dxfId="0" priority="128">
      <formula>SUM(I63:I70)&gt;90</formula>
    </cfRule>
  </conditionalFormatting>
  <dataValidations count="38">
    <dataValidation type="list" allowBlank="1" showInputMessage="1" showErrorMessage="1" sqref="B3">
      <formula1>角色!$A$2:$A$30</formula1>
    </dataValidation>
    <dataValidation type="list" allowBlank="1" showInputMessage="1" showErrorMessage="1" sqref="F3">
      <formula1>"1,10,20,30,40,50,60,70,80"</formula1>
    </dataValidation>
    <dataValidation type="list" allowBlank="1" showInputMessage="1" showErrorMessage="1" sqref="H3">
      <formula1>"0,50%,75%,100%,150%,200%,250%,300%"</formula1>
    </dataValidation>
    <dataValidation type="list" allowBlank="1" showInputMessage="1" showErrorMessage="1" sqref="L3">
      <formula1>"小型,大型,首领"</formula1>
    </dataValidation>
    <dataValidation type="list" allowBlank="1" showInputMessage="1" showErrorMessage="1" sqref="B4">
      <formula1>"血量,护盾,战姿"</formula1>
    </dataValidation>
    <dataValidation type="list" allowBlank="1" showInputMessage="1" showErrorMessage="1" sqref="D4">
      <formula1>"是,否"</formula1>
    </dataValidation>
    <dataValidation type="list" allowBlank="1" showInputMessage="1" showErrorMessage="1" sqref="F4">
      <formula1>"100%,75%,50%,25%,1%"</formula1>
    </dataValidation>
    <dataValidation type="list" allowBlank="1" showInputMessage="1" showErrorMessage="1" sqref="H4">
      <formula1>"正常,弱点,非弱点"</formula1>
    </dataValidation>
    <dataValidation type="list" allowBlank="1" showInputMessage="1" showErrorMessage="1" sqref="L4">
      <formula1>"-400%,-50%,-40%,-30%,20%,-10%,0%,10%,20%,30%,40%,50%,60%,70%,80%,90%"</formula1>
    </dataValidation>
    <dataValidation type="list" allowBlank="1" showErrorMessage="1" errorTitle="错误提示" error="请输入下拉列表中的值" sqref="G7" errorStyle="information">
      <formula1>$BZ$1:$BZ$10</formula1>
    </dataValidation>
    <dataValidation type="list" allowBlank="1" showErrorMessage="1" errorTitle="错误提示" error="请输入下拉列表中的值" sqref="G8" errorStyle="information">
      <formula1>$CA$1:$CA$10</formula1>
    </dataValidation>
    <dataValidation type="list" allowBlank="1" showErrorMessage="1" errorTitle="错误提示" error="请输入下拉列表中的值" sqref="G9" errorStyle="information">
      <formula1>$CB$1:$CB$10</formula1>
    </dataValidation>
    <dataValidation type="list" allowBlank="1" showErrorMessage="1" errorTitle="错误提示" error="请输入下拉列表中的值" sqref="G10" errorStyle="information">
      <formula1>$CC$1:$CC$10</formula1>
    </dataValidation>
    <dataValidation type="list" allowBlank="1" showErrorMessage="1" errorTitle="错误提示" error="请输入下拉列表中的值" sqref="G11" errorStyle="information">
      <formula1>$CD$1:$CD$9</formula1>
    </dataValidation>
    <dataValidation type="list" allowBlank="1" showErrorMessage="1" errorTitle="错误提示" error="请输入下拉列表中的值" sqref="G12" errorStyle="information">
      <formula1>$CE$1:$CE$10</formula1>
    </dataValidation>
    <dataValidation type="list" allowBlank="1" showErrorMessage="1" errorTitle="错误提示" error="请输入下拉列表中的值" sqref="G13" errorStyle="information">
      <formula1>$CF$1:$CF$10</formula1>
    </dataValidation>
    <dataValidation type="list" allowBlank="1" showErrorMessage="1" errorTitle="错误提示" error="请输入下拉列表中的值" sqref="G14" errorStyle="information">
      <formula1>$CG$1:$CG$10</formula1>
    </dataValidation>
    <dataValidation type="list" allowBlank="1" showInputMessage="1" showErrorMessage="1" sqref="M15">
      <formula1>"旋刃,腾跃,激荡,受身,遮断,不屈,警惕,救济,磐石,退避,引燃"</formula1>
    </dataValidation>
    <dataValidation type="list" allowBlank="1" showInputMessage="1" showErrorMessage="1" sqref="B23">
      <formula1>$AZ$2:$AZ$1057</formula1>
    </dataValidation>
    <dataValidation type="list" allowBlank="1" showInputMessage="1" showErrorMessage="1" sqref="C23 C138">
      <formula1>"1,2,3,4,5,6,7,8,9,10,11,12"</formula1>
    </dataValidation>
    <dataValidation type="list" allowBlank="1" showInputMessage="1" showErrorMessage="1" sqref="A39">
      <formula1>"DPA,DPMP,DPSMP"</formula1>
    </dataValidation>
    <dataValidation type="list" allowBlank="1" showInputMessage="1" showErrorMessage="1" sqref="B60">
      <formula1>武器!$A$2:$A$50</formula1>
    </dataValidation>
    <dataValidation type="list" allowBlank="1" showInputMessage="1" showErrorMessage="1" sqref="D60 D92">
      <formula1>"0,1,2,3,4,5"</formula1>
    </dataValidation>
    <dataValidation type="list" allowBlank="1" showInputMessage="1" showErrorMessage="1" sqref="B73">
      <formula1>$BA$2:$BA$156</formula1>
    </dataValidation>
    <dataValidation type="list" allowBlank="1" showInputMessage="1" showErrorMessage="1" sqref="B74 B139:B140">
      <formula1>"无,D,C,B,A,S"</formula1>
    </dataValidation>
    <dataValidation type="list" allowBlank="1" showInputMessage="1" showErrorMessage="1" sqref="B92">
      <formula1>远程武器!$A$2:$A$25</formula1>
    </dataValidation>
    <dataValidation type="list" allowBlank="1" showInputMessage="1" showErrorMessage="1" sqref="B106">
      <formula1>$BB$2:$BB$156</formula1>
    </dataValidation>
    <dataValidation type="list" allowBlank="1" showInputMessage="1" showErrorMessage="1" sqref="B138">
      <formula1>$BC$2:$BC$90</formula1>
    </dataValidation>
    <dataValidation type="list" allowBlank="1" showInputMessage="1" showErrorMessage="1" sqref="E7:E14 E40:E47">
      <formula1>$AV$2:$AV$1052</formula1>
    </dataValidation>
    <dataValidation type="list" allowBlank="1" showInputMessage="1" showErrorMessage="1" sqref="E19:E33">
      <formula1>BUFF!$A$3:$A$1032</formula1>
    </dataValidation>
    <dataValidation type="list" allowBlank="1" showInputMessage="1" showErrorMessage="1" sqref="E63:E70">
      <formula1>$AW$2:$AW$1052</formula1>
    </dataValidation>
    <dataValidation type="list" allowBlank="1" showInputMessage="1" showErrorMessage="1" sqref="E75:E78 E107:E110 E133:E136">
      <formula1>$E$19:$E$33</formula1>
    </dataValidation>
    <dataValidation type="list" allowBlank="1" showInputMessage="1" showErrorMessage="1" sqref="E95:E102">
      <formula1>$AX$2:$AX$1049</formula1>
    </dataValidation>
    <dataValidation type="list" allowBlank="1" showInputMessage="1" showErrorMessage="1" sqref="E126:E129">
      <formula1>$AY$2:$AY$1057</formula1>
    </dataValidation>
    <dataValidation type="list" allowBlank="1" showInputMessage="1" showErrorMessage="1" sqref="F19:F33">
      <formula1>INDIRECT("_FX"&amp;ROW(A1))</formula1>
    </dataValidation>
    <dataValidation type="list" allowBlank="1" showInputMessage="1" showErrorMessage="1" sqref="J7:J14">
      <formula1>INDIRECT(G7)</formula1>
    </dataValidation>
    <dataValidation type="list" allowBlank="1" showInputMessage="1" showErrorMessage="1" sqref="J40:J47 J63:J70 J95:J102 J126:J129">
      <formula1>"0,1,2,3,4,5,6,7,8,9,10"</formula1>
    </dataValidation>
    <dataValidation type="list" allowBlank="1" showInputMessage="1" showErrorMessage="1" sqref="K7:K14 K40:K47 K63:K70 K95:K102 K126:K129">
      <formula1>"V,A,O,D"</formula1>
    </dataValidation>
  </dataValidations>
  <pageMargins left="0.7" right="0.7" top="0.75" bottom="0.75" header="0.3" footer="0.3"/>
  <pageSetup paperSize="9" orientation="portrait"/>
  <headerFooter/>
  <ignoredErrors>
    <ignoredError sqref="U127:AI132 V133:AI136 V96:AC101 V64:AB70 V8:AH13" formulaRange="1"/>
    <ignoredError sqref="M126:Q129 M95:Q102 M63:Q70 M40:Q47 H19:M33 L34 H34:J34" formula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9"/>
  <sheetViews>
    <sheetView workbookViewId="0">
      <selection activeCell="H39" sqref="H39"/>
    </sheetView>
  </sheetViews>
  <sheetFormatPr defaultColWidth="9" defaultRowHeight="14.25"/>
  <cols>
    <col min="1" max="1" width="13" customWidth="1"/>
    <col min="2" max="2" width="15.125" customWidth="1"/>
    <col min="3" max="7" width="9" customWidth="1"/>
    <col min="9" max="14" width="9" customWidth="1"/>
  </cols>
  <sheetData>
    <row r="1" customFormat="1" spans="1:19">
      <c r="A1" t="s">
        <v>46</v>
      </c>
      <c r="B1" t="s">
        <v>179</v>
      </c>
      <c r="C1" t="s">
        <v>146</v>
      </c>
      <c r="D1" t="s">
        <v>59</v>
      </c>
      <c r="E1" t="s">
        <v>84</v>
      </c>
      <c r="F1" t="s">
        <v>180</v>
      </c>
      <c r="O1" s="65"/>
      <c r="P1" s="65"/>
      <c r="Q1" s="65"/>
      <c r="R1" s="65"/>
      <c r="S1" s="65"/>
    </row>
    <row r="2" customFormat="1" spans="1:6">
      <c r="A2" t="s">
        <v>181</v>
      </c>
      <c r="B2" t="s">
        <v>182</v>
      </c>
      <c r="C2" t="s">
        <v>22</v>
      </c>
      <c r="D2">
        <v>463769</v>
      </c>
      <c r="E2">
        <v>0</v>
      </c>
      <c r="F2">
        <v>0</v>
      </c>
    </row>
    <row r="3" spans="1:6">
      <c r="A3" t="s">
        <v>183</v>
      </c>
      <c r="B3" t="s">
        <v>182</v>
      </c>
      <c r="C3" t="s">
        <v>22</v>
      </c>
      <c r="D3">
        <v>463769</v>
      </c>
      <c r="E3">
        <v>0</v>
      </c>
      <c r="F3">
        <v>0</v>
      </c>
    </row>
    <row r="4" customFormat="1" spans="1:13">
      <c r="A4" t="s">
        <v>184</v>
      </c>
      <c r="B4" t="s">
        <v>182</v>
      </c>
      <c r="C4" t="s">
        <v>22</v>
      </c>
      <c r="D4">
        <v>1568973</v>
      </c>
      <c r="E4">
        <v>0</v>
      </c>
      <c r="F4">
        <v>0</v>
      </c>
      <c r="L4" s="10"/>
      <c r="M4" s="10"/>
    </row>
    <row r="5" spans="1:13">
      <c r="A5" t="s">
        <v>185</v>
      </c>
      <c r="B5" t="s">
        <v>182</v>
      </c>
      <c r="C5" t="s">
        <v>22</v>
      </c>
      <c r="D5">
        <v>1568973</v>
      </c>
      <c r="E5">
        <v>0</v>
      </c>
      <c r="F5">
        <v>0</v>
      </c>
      <c r="L5" s="10"/>
      <c r="M5" s="10"/>
    </row>
    <row r="6" spans="1:13">
      <c r="A6" t="s">
        <v>186</v>
      </c>
      <c r="B6" t="s">
        <v>182</v>
      </c>
      <c r="C6" t="s">
        <v>22</v>
      </c>
      <c r="D6">
        <v>463769</v>
      </c>
      <c r="E6">
        <v>0</v>
      </c>
      <c r="F6">
        <v>0</v>
      </c>
      <c r="L6" s="10"/>
      <c r="M6" s="10"/>
    </row>
    <row r="7" spans="1:13">
      <c r="A7" t="s">
        <v>187</v>
      </c>
      <c r="B7" t="s">
        <v>182</v>
      </c>
      <c r="C7" t="s">
        <v>22</v>
      </c>
      <c r="D7">
        <v>463769</v>
      </c>
      <c r="E7">
        <v>0</v>
      </c>
      <c r="F7">
        <v>0</v>
      </c>
      <c r="L7" s="10"/>
      <c r="M7" s="10"/>
    </row>
    <row r="8" spans="1:13">
      <c r="A8" t="s">
        <v>188</v>
      </c>
      <c r="B8" t="s">
        <v>182</v>
      </c>
      <c r="C8" t="s">
        <v>22</v>
      </c>
      <c r="D8">
        <v>463769</v>
      </c>
      <c r="E8">
        <v>0</v>
      </c>
      <c r="F8">
        <v>0</v>
      </c>
      <c r="L8" s="10"/>
      <c r="M8" s="10"/>
    </row>
    <row r="9" spans="1:6">
      <c r="A9" t="s">
        <v>189</v>
      </c>
      <c r="B9" t="s">
        <v>182</v>
      </c>
      <c r="C9" t="s">
        <v>22</v>
      </c>
      <c r="D9">
        <v>463769</v>
      </c>
      <c r="E9">
        <v>0</v>
      </c>
      <c r="F9">
        <v>0</v>
      </c>
    </row>
    <row r="10" spans="1:13">
      <c r="A10" t="s">
        <v>190</v>
      </c>
      <c r="B10" t="s">
        <v>182</v>
      </c>
      <c r="C10" t="s">
        <v>22</v>
      </c>
      <c r="D10">
        <v>463769</v>
      </c>
      <c r="E10">
        <v>0</v>
      </c>
      <c r="F10">
        <v>0</v>
      </c>
      <c r="L10" s="10"/>
      <c r="M10" s="10"/>
    </row>
    <row r="11" customFormat="1" spans="1:13">
      <c r="A11" t="s">
        <v>191</v>
      </c>
      <c r="B11" t="s">
        <v>182</v>
      </c>
      <c r="C11" t="s">
        <v>22</v>
      </c>
      <c r="D11">
        <v>463769</v>
      </c>
      <c r="E11">
        <v>0</v>
      </c>
      <c r="F11">
        <v>0</v>
      </c>
      <c r="L11" s="10"/>
      <c r="M11" s="10"/>
    </row>
    <row r="12" customFormat="1" spans="1:13">
      <c r="A12" t="s">
        <v>192</v>
      </c>
      <c r="B12" t="s">
        <v>182</v>
      </c>
      <c r="C12" t="s">
        <v>22</v>
      </c>
      <c r="D12">
        <v>463769</v>
      </c>
      <c r="E12">
        <v>0</v>
      </c>
      <c r="F12">
        <v>0</v>
      </c>
      <c r="L12" s="10"/>
      <c r="M12" s="10"/>
    </row>
    <row r="13" customFormat="1" spans="1:13">
      <c r="A13" t="s">
        <v>193</v>
      </c>
      <c r="B13" t="s">
        <v>194</v>
      </c>
      <c r="C13" t="s">
        <v>22</v>
      </c>
      <c r="D13">
        <v>1064771.64066339</v>
      </c>
      <c r="E13">
        <v>883000</v>
      </c>
      <c r="F13">
        <v>0</v>
      </c>
      <c r="L13" s="10"/>
      <c r="M13" s="10"/>
    </row>
    <row r="14" customFormat="1" spans="1:13">
      <c r="A14" t="s">
        <v>195</v>
      </c>
      <c r="B14" t="s">
        <v>194</v>
      </c>
      <c r="C14" t="s">
        <v>22</v>
      </c>
      <c r="D14">
        <v>1064771.64066339</v>
      </c>
      <c r="E14">
        <v>883000</v>
      </c>
      <c r="F14">
        <v>0</v>
      </c>
      <c r="L14" s="10"/>
      <c r="M14" s="10"/>
    </row>
    <row r="15" spans="1:13">
      <c r="A15" t="s">
        <v>196</v>
      </c>
      <c r="B15" t="s">
        <v>194</v>
      </c>
      <c r="C15" t="s">
        <v>22</v>
      </c>
      <c r="D15">
        <v>2219623.78869863</v>
      </c>
      <c r="E15">
        <v>2238777.675</v>
      </c>
      <c r="F15">
        <v>0</v>
      </c>
      <c r="L15" s="10"/>
      <c r="M15" s="10"/>
    </row>
    <row r="16" spans="1:13">
      <c r="A16" t="s">
        <v>197</v>
      </c>
      <c r="B16" t="s">
        <v>194</v>
      </c>
      <c r="C16" t="s">
        <v>22</v>
      </c>
      <c r="D16">
        <v>1064771.64066339</v>
      </c>
      <c r="E16">
        <v>883000</v>
      </c>
      <c r="F16">
        <v>0</v>
      </c>
      <c r="L16" s="10"/>
      <c r="M16" s="10"/>
    </row>
    <row r="17" spans="1:13">
      <c r="A17" t="s">
        <v>198</v>
      </c>
      <c r="B17" t="s">
        <v>194</v>
      </c>
      <c r="C17" t="s">
        <v>22</v>
      </c>
      <c r="D17">
        <v>305738</v>
      </c>
      <c r="E17">
        <v>220311</v>
      </c>
      <c r="F17">
        <v>0</v>
      </c>
      <c r="L17" s="10"/>
      <c r="M17" s="10"/>
    </row>
    <row r="18" spans="1:13">
      <c r="A18" s="2" t="s">
        <v>199</v>
      </c>
      <c r="B18" t="s">
        <v>194</v>
      </c>
      <c r="C18" t="s">
        <v>22</v>
      </c>
      <c r="D18">
        <v>305738</v>
      </c>
      <c r="E18">
        <v>220311</v>
      </c>
      <c r="F18">
        <v>0</v>
      </c>
      <c r="L18" s="10"/>
      <c r="M18" s="10"/>
    </row>
    <row r="19" spans="1:13">
      <c r="A19" s="2" t="s">
        <v>200</v>
      </c>
      <c r="B19" t="s">
        <v>194</v>
      </c>
      <c r="C19" t="s">
        <v>22</v>
      </c>
      <c r="D19">
        <v>305738</v>
      </c>
      <c r="E19">
        <v>220311</v>
      </c>
      <c r="F19">
        <v>0</v>
      </c>
      <c r="L19" s="10"/>
      <c r="M19" s="10"/>
    </row>
    <row r="20" spans="1:13">
      <c r="A20" s="2" t="s">
        <v>201</v>
      </c>
      <c r="B20" t="s">
        <v>194</v>
      </c>
      <c r="C20" t="s">
        <v>22</v>
      </c>
      <c r="D20">
        <v>305738</v>
      </c>
      <c r="E20">
        <v>220311</v>
      </c>
      <c r="F20">
        <v>0</v>
      </c>
      <c r="L20" s="10"/>
      <c r="M20" s="10"/>
    </row>
    <row r="21" spans="1:13">
      <c r="A21" s="2" t="s">
        <v>202</v>
      </c>
      <c r="B21" t="s">
        <v>194</v>
      </c>
      <c r="C21" t="s">
        <v>22</v>
      </c>
      <c r="D21">
        <v>305738</v>
      </c>
      <c r="E21">
        <v>220311</v>
      </c>
      <c r="F21">
        <v>0</v>
      </c>
      <c r="L21" s="10"/>
      <c r="M21" s="10"/>
    </row>
    <row r="22" spans="1:13">
      <c r="A22" s="2" t="s">
        <v>203</v>
      </c>
      <c r="B22" t="s">
        <v>194</v>
      </c>
      <c r="C22" t="s">
        <v>22</v>
      </c>
      <c r="D22">
        <v>305738</v>
      </c>
      <c r="E22">
        <v>220311</v>
      </c>
      <c r="F22">
        <v>0</v>
      </c>
      <c r="L22" s="10"/>
      <c r="M22" s="10"/>
    </row>
    <row r="23" spans="1:13">
      <c r="A23" s="2" t="s">
        <v>204</v>
      </c>
      <c r="B23" t="s">
        <v>194</v>
      </c>
      <c r="C23" t="s">
        <v>22</v>
      </c>
      <c r="D23">
        <v>305738</v>
      </c>
      <c r="E23">
        <v>220311</v>
      </c>
      <c r="F23">
        <v>0</v>
      </c>
      <c r="L23" s="10"/>
      <c r="M23" s="10"/>
    </row>
    <row r="24" spans="1:13">
      <c r="A24" s="2" t="s">
        <v>205</v>
      </c>
      <c r="B24" t="s">
        <v>194</v>
      </c>
      <c r="C24" t="s">
        <v>22</v>
      </c>
      <c r="D24">
        <v>305738</v>
      </c>
      <c r="E24">
        <v>220311</v>
      </c>
      <c r="F24">
        <v>0</v>
      </c>
      <c r="L24" s="10"/>
      <c r="M24" s="10"/>
    </row>
    <row r="25" spans="1:13">
      <c r="A25" s="2" t="s">
        <v>206</v>
      </c>
      <c r="B25" s="2" t="s">
        <v>207</v>
      </c>
      <c r="C25" t="s">
        <v>22</v>
      </c>
      <c r="D25" s="4">
        <v>95796</v>
      </c>
      <c r="E25">
        <v>531918</v>
      </c>
      <c r="F25">
        <v>0</v>
      </c>
      <c r="L25" s="10"/>
      <c r="M25" s="10"/>
    </row>
    <row r="26" spans="1:13">
      <c r="A26" s="2" t="s">
        <v>208</v>
      </c>
      <c r="B26" s="2" t="s">
        <v>207</v>
      </c>
      <c r="C26" t="s">
        <v>22</v>
      </c>
      <c r="D26" s="4">
        <v>95796</v>
      </c>
      <c r="E26">
        <v>531918</v>
      </c>
      <c r="F26">
        <v>0</v>
      </c>
      <c r="L26" s="10"/>
      <c r="M26" s="10"/>
    </row>
    <row r="27" spans="1:13">
      <c r="A27" s="2" t="s">
        <v>209</v>
      </c>
      <c r="B27" s="2" t="s">
        <v>207</v>
      </c>
      <c r="C27" t="s">
        <v>22</v>
      </c>
      <c r="D27" s="4">
        <v>95796</v>
      </c>
      <c r="E27">
        <v>531918</v>
      </c>
      <c r="F27">
        <v>0</v>
      </c>
      <c r="L27" s="10"/>
      <c r="M27" s="10"/>
    </row>
    <row r="28" spans="1:13">
      <c r="A28" t="s">
        <v>210</v>
      </c>
      <c r="B28" s="2" t="s">
        <v>211</v>
      </c>
      <c r="C28" t="s">
        <v>22</v>
      </c>
      <c r="D28" s="4">
        <v>711058</v>
      </c>
      <c r="E28">
        <v>5286576</v>
      </c>
      <c r="F28">
        <v>0</v>
      </c>
      <c r="L28" s="10"/>
      <c r="M28" s="10"/>
    </row>
    <row r="29" spans="1:13">
      <c r="A29" t="s">
        <v>212</v>
      </c>
      <c r="B29" s="2" t="s">
        <v>211</v>
      </c>
      <c r="C29" t="s">
        <v>22</v>
      </c>
      <c r="D29" s="4">
        <v>711058</v>
      </c>
      <c r="E29">
        <v>5286576</v>
      </c>
      <c r="F29">
        <v>0</v>
      </c>
      <c r="L29" s="10"/>
      <c r="M29" s="10"/>
    </row>
    <row r="30" spans="1:13">
      <c r="A30" t="s">
        <v>213</v>
      </c>
      <c r="B30" s="2" t="s">
        <v>211</v>
      </c>
      <c r="C30" t="s">
        <v>22</v>
      </c>
      <c r="D30" s="4">
        <v>711058</v>
      </c>
      <c r="E30">
        <v>5286576</v>
      </c>
      <c r="F30">
        <v>0</v>
      </c>
      <c r="L30" s="10"/>
      <c r="M30" s="10"/>
    </row>
    <row r="31" spans="1:13">
      <c r="A31" s="2" t="s">
        <v>214</v>
      </c>
      <c r="B31" s="2" t="s">
        <v>211</v>
      </c>
      <c r="C31" t="s">
        <v>22</v>
      </c>
      <c r="D31" s="4">
        <v>95796</v>
      </c>
      <c r="E31">
        <v>531918</v>
      </c>
      <c r="F31">
        <v>0</v>
      </c>
      <c r="L31" s="10"/>
      <c r="M31" s="10"/>
    </row>
    <row r="32" spans="1:13">
      <c r="A32" s="2" t="s">
        <v>215</v>
      </c>
      <c r="B32" s="2" t="s">
        <v>211</v>
      </c>
      <c r="C32" t="s">
        <v>22</v>
      </c>
      <c r="D32" s="4">
        <v>95796</v>
      </c>
      <c r="E32">
        <v>531918</v>
      </c>
      <c r="F32">
        <v>0</v>
      </c>
      <c r="L32" s="10"/>
      <c r="M32" s="10"/>
    </row>
    <row r="33" spans="1:13">
      <c r="A33" s="2" t="s">
        <v>216</v>
      </c>
      <c r="B33" s="2" t="s">
        <v>211</v>
      </c>
      <c r="C33" t="s">
        <v>22</v>
      </c>
      <c r="D33" s="4">
        <v>95796</v>
      </c>
      <c r="E33">
        <v>531918</v>
      </c>
      <c r="F33">
        <v>0</v>
      </c>
      <c r="L33" s="10"/>
      <c r="M33" s="10"/>
    </row>
    <row r="34" spans="1:13">
      <c r="A34" s="2" t="s">
        <v>217</v>
      </c>
      <c r="B34" s="2" t="s">
        <v>218</v>
      </c>
      <c r="C34" t="s">
        <v>22</v>
      </c>
      <c r="D34" s="4">
        <v>463769</v>
      </c>
      <c r="E34">
        <v>0</v>
      </c>
      <c r="F34">
        <v>0</v>
      </c>
      <c r="L34" s="10"/>
      <c r="M34" s="10"/>
    </row>
    <row r="35" spans="1:6">
      <c r="A35" s="2" t="s">
        <v>219</v>
      </c>
      <c r="B35" s="2" t="s">
        <v>218</v>
      </c>
      <c r="C35" t="s">
        <v>22</v>
      </c>
      <c r="D35" s="4">
        <v>918810</v>
      </c>
      <c r="E35">
        <v>0</v>
      </c>
      <c r="F35">
        <v>0</v>
      </c>
    </row>
    <row r="36" spans="1:13">
      <c r="A36" s="2" t="s">
        <v>220</v>
      </c>
      <c r="B36" s="2" t="s">
        <v>218</v>
      </c>
      <c r="C36" t="s">
        <v>22</v>
      </c>
      <c r="D36" s="4">
        <v>292224</v>
      </c>
      <c r="E36">
        <v>0</v>
      </c>
      <c r="F36">
        <v>0</v>
      </c>
      <c r="L36" s="10"/>
      <c r="M36" s="10"/>
    </row>
    <row r="37" spans="1:13">
      <c r="A37" s="2" t="s">
        <v>221</v>
      </c>
      <c r="B37" s="2" t="s">
        <v>218</v>
      </c>
      <c r="C37" t="s">
        <v>22</v>
      </c>
      <c r="D37" s="4">
        <v>292224</v>
      </c>
      <c r="E37">
        <v>0</v>
      </c>
      <c r="F37">
        <v>0</v>
      </c>
      <c r="L37" s="10"/>
      <c r="M37" s="10"/>
    </row>
    <row r="38" spans="1:13">
      <c r="A38" s="2" t="s">
        <v>222</v>
      </c>
      <c r="B38" s="2" t="s">
        <v>218</v>
      </c>
      <c r="C38" t="s">
        <v>22</v>
      </c>
      <c r="D38" s="4">
        <v>161832</v>
      </c>
      <c r="E38">
        <v>0</v>
      </c>
      <c r="F38">
        <v>0</v>
      </c>
      <c r="L38" s="10"/>
      <c r="M38" s="10"/>
    </row>
    <row r="39" spans="1:13">
      <c r="A39" s="2" t="s">
        <v>223</v>
      </c>
      <c r="B39" s="2" t="s">
        <v>218</v>
      </c>
      <c r="C39" t="s">
        <v>22</v>
      </c>
      <c r="D39" s="4">
        <v>292224</v>
      </c>
      <c r="E39">
        <v>0</v>
      </c>
      <c r="F39">
        <v>0</v>
      </c>
      <c r="L39" s="10"/>
      <c r="M39" s="10"/>
    </row>
  </sheetData>
  <sheetProtection formatCells="0" insertHyperlinks="0" autoFilter="0"/>
  <mergeCells count="1">
    <mergeCell ref="O1:S1"/>
  </mergeCells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topLeftCell="H39" workbookViewId="0">
      <selection activeCell="H39" sqref="H39"/>
    </sheetView>
  </sheetViews>
  <sheetFormatPr defaultColWidth="9" defaultRowHeight="14.25"/>
  <cols>
    <col min="1" max="1" width="9" customWidth="1"/>
    <col min="2" max="4" width="12.625"/>
    <col min="6" max="6" width="9.375"/>
    <col min="7" max="10" width="12.625"/>
    <col min="12" max="13" width="12.625"/>
  </cols>
  <sheetData>
    <row r="1" customFormat="1" spans="2:6">
      <c r="B1" s="65" t="s">
        <v>224</v>
      </c>
      <c r="C1" s="65"/>
      <c r="D1" s="65"/>
      <c r="E1" s="65"/>
      <c r="F1" s="65"/>
    </row>
    <row r="2" customFormat="1" spans="2:6">
      <c r="B2" t="s">
        <v>225</v>
      </c>
      <c r="C2" t="s">
        <v>225</v>
      </c>
      <c r="D2" t="s">
        <v>226</v>
      </c>
      <c r="E2" t="s">
        <v>226</v>
      </c>
      <c r="F2" t="s">
        <v>226</v>
      </c>
    </row>
    <row r="3" spans="1:7">
      <c r="A3" t="s">
        <v>18</v>
      </c>
      <c r="B3" t="s">
        <v>30</v>
      </c>
      <c r="C3" t="s">
        <v>227</v>
      </c>
      <c r="D3" t="s">
        <v>228</v>
      </c>
      <c r="E3" t="s">
        <v>229</v>
      </c>
      <c r="F3" t="s">
        <v>230</v>
      </c>
      <c r="G3" t="s">
        <v>231</v>
      </c>
    </row>
    <row r="4" customFormat="1" spans="1:3">
      <c r="A4">
        <v>10</v>
      </c>
      <c r="B4">
        <v>23</v>
      </c>
      <c r="C4">
        <f t="shared" ref="C4:C7" si="0">POWER(A4,2.29)/8.42</f>
        <v>23.1572992845374</v>
      </c>
    </row>
    <row r="5" spans="1:3">
      <c r="A5">
        <v>20</v>
      </c>
      <c r="B5">
        <v>114</v>
      </c>
      <c r="C5">
        <f t="shared" si="0"/>
        <v>113.25218731138</v>
      </c>
    </row>
    <row r="6" spans="1:3">
      <c r="A6">
        <v>30</v>
      </c>
      <c r="B6">
        <v>284</v>
      </c>
      <c r="C6">
        <f t="shared" si="0"/>
        <v>286.612799944434</v>
      </c>
    </row>
    <row r="7" spans="1:4">
      <c r="A7">
        <v>40</v>
      </c>
      <c r="B7">
        <v>553</v>
      </c>
      <c r="C7">
        <f t="shared" si="0"/>
        <v>553.866742974481</v>
      </c>
      <c r="D7">
        <f t="shared" ref="D7:D14" si="1">POWER(A7,9.07)/(630000000000)</f>
        <v>538.69577811417</v>
      </c>
    </row>
    <row r="8" spans="1:4">
      <c r="A8">
        <v>50</v>
      </c>
      <c r="B8">
        <v>3126</v>
      </c>
      <c r="D8">
        <f t="shared" si="1"/>
        <v>4076.78107131277</v>
      </c>
    </row>
    <row r="9" spans="1:4">
      <c r="A9">
        <v>60</v>
      </c>
      <c r="B9">
        <v>19744.2068965517</v>
      </c>
      <c r="D9">
        <f t="shared" si="1"/>
        <v>21305.4784536418</v>
      </c>
    </row>
    <row r="10" spans="1:4">
      <c r="A10">
        <v>70</v>
      </c>
      <c r="B10">
        <v>80493.974025974</v>
      </c>
      <c r="D10">
        <f t="shared" si="1"/>
        <v>86237.9995064091</v>
      </c>
    </row>
    <row r="11" customFormat="1" spans="1:4">
      <c r="A11">
        <v>72</v>
      </c>
      <c r="B11">
        <v>114524</v>
      </c>
      <c r="D11">
        <f t="shared" si="1"/>
        <v>111343.583135414</v>
      </c>
    </row>
    <row r="12" customFormat="1" spans="1:4">
      <c r="A12">
        <v>74</v>
      </c>
      <c r="B12">
        <v>146203.155339806</v>
      </c>
      <c r="D12">
        <f t="shared" si="1"/>
        <v>142754.940878782</v>
      </c>
    </row>
    <row r="13" customFormat="1" spans="1:4">
      <c r="A13">
        <v>76</v>
      </c>
      <c r="B13">
        <v>195358.955752212</v>
      </c>
      <c r="D13">
        <f t="shared" si="1"/>
        <v>181818.777153554</v>
      </c>
    </row>
    <row r="14" customFormat="1" spans="1:4">
      <c r="A14">
        <v>78</v>
      </c>
      <c r="B14">
        <v>228718.548387097</v>
      </c>
      <c r="D14">
        <f t="shared" si="1"/>
        <v>230121.659347312</v>
      </c>
    </row>
    <row r="15" spans="1:5">
      <c r="A15">
        <v>80</v>
      </c>
      <c r="B15">
        <v>463769.270588235</v>
      </c>
      <c r="E15">
        <f t="shared" ref="E15:E17" si="2">29016*A15-1857510</f>
        <v>463770</v>
      </c>
    </row>
    <row r="16" spans="1:5">
      <c r="A16">
        <v>90</v>
      </c>
      <c r="B16">
        <v>754429.710144927</v>
      </c>
      <c r="E16">
        <f t="shared" si="2"/>
        <v>753930</v>
      </c>
    </row>
    <row r="17" spans="1:6">
      <c r="A17">
        <v>100</v>
      </c>
      <c r="B17">
        <v>1044577.45454545</v>
      </c>
      <c r="E17">
        <f t="shared" si="2"/>
        <v>1044090</v>
      </c>
      <c r="F17">
        <f t="shared" ref="F17:F22" si="3">221018*A17-21057200</f>
        <v>1044600</v>
      </c>
    </row>
    <row r="18" spans="1:6">
      <c r="A18">
        <v>110</v>
      </c>
      <c r="B18">
        <v>3157563.65853659</v>
      </c>
      <c r="F18">
        <f t="shared" si="3"/>
        <v>3254780</v>
      </c>
    </row>
    <row r="19" spans="1:6">
      <c r="A19">
        <v>120</v>
      </c>
      <c r="B19">
        <v>5249878.97142857</v>
      </c>
      <c r="F19">
        <f t="shared" si="3"/>
        <v>5464960</v>
      </c>
    </row>
    <row r="20" spans="1:6">
      <c r="A20">
        <v>130</v>
      </c>
      <c r="B20">
        <v>7491170.82352941</v>
      </c>
      <c r="F20">
        <f t="shared" si="3"/>
        <v>7675140</v>
      </c>
    </row>
    <row r="21" spans="1:6">
      <c r="A21">
        <v>140</v>
      </c>
      <c r="B21">
        <v>9764436.95535714</v>
      </c>
      <c r="F21">
        <f t="shared" si="3"/>
        <v>9885320</v>
      </c>
    </row>
    <row r="22" spans="1:7">
      <c r="A22">
        <v>150</v>
      </c>
      <c r="B22">
        <v>12095491.047619</v>
      </c>
      <c r="F22">
        <f t="shared" si="3"/>
        <v>12095500</v>
      </c>
      <c r="G22">
        <f t="shared" ref="G22:G25" si="4">A22*602129-78223830</f>
        <v>12095520</v>
      </c>
    </row>
    <row r="23" spans="1:7">
      <c r="A23">
        <v>160</v>
      </c>
      <c r="B23">
        <v>18093072.3404255</v>
      </c>
      <c r="G23">
        <f t="shared" si="4"/>
        <v>18116810</v>
      </c>
    </row>
    <row r="24" spans="1:7">
      <c r="A24">
        <v>170</v>
      </c>
      <c r="B24">
        <v>24100085.275</v>
      </c>
      <c r="G24">
        <f t="shared" si="4"/>
        <v>24138100</v>
      </c>
    </row>
    <row r="25" spans="1:7">
      <c r="A25">
        <v>180</v>
      </c>
      <c r="B25">
        <v>30159354.0186916</v>
      </c>
      <c r="G25">
        <f t="shared" si="4"/>
        <v>30159390</v>
      </c>
    </row>
    <row r="38" spans="7:13">
      <c r="G38">
        <f t="shared" ref="G38:M38" si="5">G39/$N$39</f>
        <v>0.0796668477276842</v>
      </c>
      <c r="H38">
        <f t="shared" si="5"/>
        <v>0.20630092341119</v>
      </c>
      <c r="I38">
        <f t="shared" si="5"/>
        <v>0.302118413905486</v>
      </c>
      <c r="J38">
        <f t="shared" si="5"/>
        <v>0.413724425131269</v>
      </c>
      <c r="K38">
        <f t="shared" si="5"/>
        <v>0.529132717725874</v>
      </c>
      <c r="L38">
        <f t="shared" si="5"/>
        <v>0.682636248415716</v>
      </c>
      <c r="M38">
        <f t="shared" si="5"/>
        <v>0.813579576317219</v>
      </c>
    </row>
    <row r="39" spans="7:14">
      <c r="G39">
        <v>22</v>
      </c>
      <c r="H39">
        <v>56.97</v>
      </c>
      <c r="I39">
        <v>83.43</v>
      </c>
      <c r="J39">
        <v>114.25</v>
      </c>
      <c r="K39">
        <v>146.12</v>
      </c>
      <c r="L39">
        <v>188.51</v>
      </c>
      <c r="M39">
        <v>224.67</v>
      </c>
      <c r="N39">
        <v>276.15</v>
      </c>
    </row>
  </sheetData>
  <sheetProtection formatCells="0" insertHyperlinks="0" autoFilter="0"/>
  <mergeCells count="1">
    <mergeCell ref="B1:F1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2"/>
  <sheetViews>
    <sheetView workbookViewId="0">
      <selection activeCell="H26" sqref="H26"/>
    </sheetView>
  </sheetViews>
  <sheetFormatPr defaultColWidth="9" defaultRowHeight="14.25"/>
  <cols>
    <col min="1" max="1" width="13" customWidth="1"/>
    <col min="22" max="22" width="10.25" customWidth="1"/>
  </cols>
  <sheetData>
    <row r="1" spans="1:21">
      <c r="A1" s="13" t="s">
        <v>46</v>
      </c>
      <c r="B1" s="14" t="s">
        <v>9</v>
      </c>
      <c r="C1" s="14" t="s">
        <v>232</v>
      </c>
      <c r="D1" s="14" t="s">
        <v>233</v>
      </c>
      <c r="E1" s="15" t="s">
        <v>234</v>
      </c>
      <c r="F1" s="14" t="s">
        <v>235</v>
      </c>
      <c r="G1" s="14" t="s">
        <v>236</v>
      </c>
      <c r="H1" s="14" t="s">
        <v>237</v>
      </c>
      <c r="I1" s="14" t="s">
        <v>238</v>
      </c>
      <c r="J1" s="14" t="s">
        <v>239</v>
      </c>
      <c r="K1" s="14" t="s">
        <v>61</v>
      </c>
      <c r="L1" s="14" t="s">
        <v>62</v>
      </c>
      <c r="M1" s="14" t="s">
        <v>63</v>
      </c>
      <c r="N1" s="14" t="s">
        <v>64</v>
      </c>
      <c r="O1" s="14" t="s">
        <v>58</v>
      </c>
      <c r="P1" s="14" t="s">
        <v>59</v>
      </c>
      <c r="Q1" s="14" t="s">
        <v>84</v>
      </c>
      <c r="R1" s="14" t="s">
        <v>60</v>
      </c>
      <c r="S1" s="14" t="s">
        <v>85</v>
      </c>
      <c r="T1" s="14" t="s">
        <v>65</v>
      </c>
      <c r="U1" s="14" t="s">
        <v>66</v>
      </c>
    </row>
    <row r="2" spans="1:21">
      <c r="A2" s="16" t="s">
        <v>240</v>
      </c>
      <c r="B2" s="20" t="s">
        <v>10</v>
      </c>
      <c r="C2" s="20" t="s">
        <v>241</v>
      </c>
      <c r="D2" s="20" t="s">
        <v>242</v>
      </c>
      <c r="E2" s="20"/>
      <c r="F2" s="20">
        <v>276.15</v>
      </c>
      <c r="G2" s="20">
        <v>1180</v>
      </c>
      <c r="H2" s="20">
        <v>1180</v>
      </c>
      <c r="I2" s="20">
        <v>276</v>
      </c>
      <c r="J2" s="20">
        <v>150</v>
      </c>
      <c r="K2" s="23"/>
      <c r="L2" s="23"/>
      <c r="M2" s="23"/>
      <c r="N2" s="23">
        <v>0.3</v>
      </c>
      <c r="O2" s="23">
        <v>0.5</v>
      </c>
      <c r="P2" s="23"/>
      <c r="Q2" s="23"/>
      <c r="R2" s="23"/>
      <c r="S2" s="23"/>
      <c r="T2" s="23"/>
      <c r="U2" s="23"/>
    </row>
    <row r="3" spans="1:21">
      <c r="A3" s="16" t="s">
        <v>243</v>
      </c>
      <c r="B3" s="20" t="s">
        <v>23</v>
      </c>
      <c r="C3" s="20" t="s">
        <v>244</v>
      </c>
      <c r="D3" s="20" t="s">
        <v>245</v>
      </c>
      <c r="E3" s="20"/>
      <c r="F3" s="20">
        <v>313.8</v>
      </c>
      <c r="G3" s="20">
        <v>1255</v>
      </c>
      <c r="H3" s="20">
        <v>1255</v>
      </c>
      <c r="I3" s="20">
        <v>252</v>
      </c>
      <c r="J3" s="20">
        <v>150</v>
      </c>
      <c r="K3" s="23"/>
      <c r="L3" s="23"/>
      <c r="M3" s="23"/>
      <c r="N3" s="23">
        <v>0.3</v>
      </c>
      <c r="O3" s="23">
        <v>0.5</v>
      </c>
      <c r="P3" s="23"/>
      <c r="Q3" s="23"/>
      <c r="R3" s="23"/>
      <c r="S3" s="23"/>
      <c r="T3" s="23"/>
      <c r="U3" s="23"/>
    </row>
    <row r="4" spans="1:21">
      <c r="A4" s="16" t="s">
        <v>246</v>
      </c>
      <c r="B4" s="20" t="s">
        <v>72</v>
      </c>
      <c r="C4" s="20" t="s">
        <v>247</v>
      </c>
      <c r="D4" s="20" t="s">
        <v>242</v>
      </c>
      <c r="E4" s="20"/>
      <c r="F4" s="20">
        <v>276.15</v>
      </c>
      <c r="G4" s="20">
        <v>1318</v>
      </c>
      <c r="H4" s="20">
        <v>1318</v>
      </c>
      <c r="I4" s="20">
        <v>315</v>
      </c>
      <c r="J4" s="20">
        <v>160</v>
      </c>
      <c r="K4" s="23"/>
      <c r="L4" s="23">
        <v>0.15</v>
      </c>
      <c r="M4" s="23"/>
      <c r="N4" s="23">
        <v>0.3</v>
      </c>
      <c r="O4" s="23"/>
      <c r="P4" s="23"/>
      <c r="Q4" s="23"/>
      <c r="R4" s="23"/>
      <c r="S4" s="23"/>
      <c r="T4" s="23"/>
      <c r="U4" s="23"/>
    </row>
    <row r="5" spans="1:21">
      <c r="A5" s="16" t="s">
        <v>248</v>
      </c>
      <c r="B5" s="20" t="s">
        <v>23</v>
      </c>
      <c r="C5" s="20" t="s">
        <v>247</v>
      </c>
      <c r="D5" s="20" t="s">
        <v>249</v>
      </c>
      <c r="E5" s="20"/>
      <c r="F5" s="20">
        <v>213.39</v>
      </c>
      <c r="G5" s="20">
        <v>1444</v>
      </c>
      <c r="H5" s="20">
        <v>1444</v>
      </c>
      <c r="I5" s="20">
        <v>300</v>
      </c>
      <c r="J5" s="20">
        <v>150</v>
      </c>
      <c r="K5" s="23"/>
      <c r="L5" s="23">
        <v>0.15</v>
      </c>
      <c r="M5" s="23"/>
      <c r="N5" s="23"/>
      <c r="O5" s="23">
        <v>0.5</v>
      </c>
      <c r="P5" s="23"/>
      <c r="Q5" s="23"/>
      <c r="R5" s="23"/>
      <c r="S5" s="23"/>
      <c r="T5" s="23"/>
      <c r="U5" s="23"/>
    </row>
    <row r="6" spans="1:21">
      <c r="A6" s="16" t="s">
        <v>250</v>
      </c>
      <c r="B6" s="18" t="s">
        <v>37</v>
      </c>
      <c r="C6" s="18" t="s">
        <v>244</v>
      </c>
      <c r="D6" s="18" t="s">
        <v>251</v>
      </c>
      <c r="E6" s="18"/>
      <c r="F6" s="20">
        <v>263.59</v>
      </c>
      <c r="G6" s="20">
        <v>1042</v>
      </c>
      <c r="H6" s="20">
        <v>1042</v>
      </c>
      <c r="I6" s="20">
        <v>264</v>
      </c>
      <c r="J6" s="20">
        <v>160</v>
      </c>
      <c r="K6" s="23"/>
      <c r="L6" s="23"/>
      <c r="M6" s="23"/>
      <c r="N6" s="23">
        <v>0.3</v>
      </c>
      <c r="O6" s="23">
        <v>0.5</v>
      </c>
      <c r="P6" s="23"/>
      <c r="Q6" s="23"/>
      <c r="R6" s="23"/>
      <c r="S6" s="23"/>
      <c r="T6" s="23"/>
      <c r="U6" s="23"/>
    </row>
    <row r="7" customFormat="1" spans="1:21">
      <c r="A7" s="16" t="s">
        <v>252</v>
      </c>
      <c r="B7" s="18" t="s">
        <v>37</v>
      </c>
      <c r="C7" s="18" t="s">
        <v>253</v>
      </c>
      <c r="D7" s="18" t="s">
        <v>254</v>
      </c>
      <c r="E7" s="17" t="s">
        <v>255</v>
      </c>
      <c r="F7" s="20">
        <v>303.37</v>
      </c>
      <c r="G7" s="20">
        <v>1318</v>
      </c>
      <c r="H7" s="20">
        <v>1318</v>
      </c>
      <c r="I7" s="20">
        <v>240</v>
      </c>
      <c r="J7" s="20">
        <v>150</v>
      </c>
      <c r="K7" s="23"/>
      <c r="L7" s="23">
        <v>0.15</v>
      </c>
      <c r="M7" s="23"/>
      <c r="N7" s="23"/>
      <c r="O7" s="23">
        <v>0.5</v>
      </c>
      <c r="P7" s="23"/>
      <c r="Q7" s="23"/>
      <c r="R7" s="23"/>
      <c r="S7" s="23"/>
      <c r="T7" s="23"/>
      <c r="U7" s="23"/>
    </row>
    <row r="8" spans="1:21">
      <c r="A8" s="16" t="s">
        <v>256</v>
      </c>
      <c r="B8" s="18" t="s">
        <v>37</v>
      </c>
      <c r="C8" s="18" t="s">
        <v>253</v>
      </c>
      <c r="D8" s="18" t="s">
        <v>245</v>
      </c>
      <c r="E8" s="18"/>
      <c r="F8" s="20">
        <v>188.28</v>
      </c>
      <c r="G8" s="20">
        <v>2297.33</v>
      </c>
      <c r="H8" s="20">
        <v>0</v>
      </c>
      <c r="I8" s="20">
        <v>345</v>
      </c>
      <c r="J8" s="20">
        <v>120</v>
      </c>
      <c r="K8" s="23"/>
      <c r="L8" s="23">
        <v>0.15</v>
      </c>
      <c r="M8" s="23"/>
      <c r="N8" s="23"/>
      <c r="O8" s="23"/>
      <c r="P8" s="23">
        <v>0.5</v>
      </c>
      <c r="Q8" s="23"/>
      <c r="R8" s="23"/>
      <c r="S8" s="23"/>
      <c r="T8" s="23"/>
      <c r="U8" s="23"/>
    </row>
    <row r="9" spans="1:21">
      <c r="A9" s="16" t="s">
        <v>257</v>
      </c>
      <c r="B9" s="18" t="s">
        <v>37</v>
      </c>
      <c r="C9" s="18" t="s">
        <v>247</v>
      </c>
      <c r="D9" s="18" t="s">
        <v>251</v>
      </c>
      <c r="E9" s="18"/>
      <c r="F9" s="20">
        <v>263.59</v>
      </c>
      <c r="G9" s="20">
        <v>1205</v>
      </c>
      <c r="H9" s="20">
        <v>1205</v>
      </c>
      <c r="I9" s="20">
        <v>288</v>
      </c>
      <c r="J9" s="20">
        <v>180</v>
      </c>
      <c r="K9" s="23">
        <v>0.2</v>
      </c>
      <c r="L9" s="23"/>
      <c r="M9" s="23"/>
      <c r="N9" s="23"/>
      <c r="O9" s="23">
        <v>0.5</v>
      </c>
      <c r="P9" s="23"/>
      <c r="Q9" s="23"/>
      <c r="R9" s="23"/>
      <c r="S9" s="23"/>
      <c r="T9" s="23"/>
      <c r="U9" s="23"/>
    </row>
    <row r="10" spans="1:21">
      <c r="A10" s="16" t="s">
        <v>17</v>
      </c>
      <c r="B10" s="20" t="s">
        <v>43</v>
      </c>
      <c r="C10" s="20" t="s">
        <v>244</v>
      </c>
      <c r="D10" s="20" t="s">
        <v>242</v>
      </c>
      <c r="E10" s="21" t="s">
        <v>258</v>
      </c>
      <c r="F10" s="20">
        <v>351.46</v>
      </c>
      <c r="G10" s="20">
        <v>879</v>
      </c>
      <c r="H10" s="20">
        <v>1757</v>
      </c>
      <c r="I10" s="20">
        <v>252</v>
      </c>
      <c r="J10" s="20">
        <v>150</v>
      </c>
      <c r="K10" s="23">
        <v>0.2</v>
      </c>
      <c r="L10" s="23"/>
      <c r="M10" s="23"/>
      <c r="N10" s="23"/>
      <c r="O10" s="23"/>
      <c r="P10" s="23"/>
      <c r="Q10" s="23"/>
      <c r="R10" s="23"/>
      <c r="S10" s="23"/>
      <c r="T10" s="23"/>
      <c r="U10" s="23">
        <v>0.05</v>
      </c>
    </row>
    <row r="11" spans="1:21">
      <c r="A11" s="16" t="s">
        <v>259</v>
      </c>
      <c r="B11" s="20" t="s">
        <v>43</v>
      </c>
      <c r="C11" s="20" t="s">
        <v>244</v>
      </c>
      <c r="D11" s="20" t="s">
        <v>249</v>
      </c>
      <c r="E11" s="20"/>
      <c r="F11" s="20">
        <v>150.63</v>
      </c>
      <c r="G11" s="20">
        <v>2322</v>
      </c>
      <c r="H11" s="20">
        <v>1883</v>
      </c>
      <c r="I11" s="20">
        <v>310</v>
      </c>
      <c r="J11" s="20">
        <v>120</v>
      </c>
      <c r="K11" s="23"/>
      <c r="L11" s="23">
        <v>0.15</v>
      </c>
      <c r="M11" s="23"/>
      <c r="N11" s="23"/>
      <c r="O11" s="23"/>
      <c r="P11" s="23">
        <v>0.5</v>
      </c>
      <c r="Q11" s="23"/>
      <c r="R11" s="23"/>
      <c r="S11" s="23"/>
      <c r="T11" s="23"/>
      <c r="U11" s="23"/>
    </row>
    <row r="12" spans="1:21">
      <c r="A12" s="16" t="s">
        <v>260</v>
      </c>
      <c r="B12" s="20" t="s">
        <v>43</v>
      </c>
      <c r="C12" s="20" t="s">
        <v>261</v>
      </c>
      <c r="D12" s="20" t="s">
        <v>254</v>
      </c>
      <c r="E12" s="20"/>
      <c r="F12" s="20">
        <v>251.05</v>
      </c>
      <c r="G12" s="20">
        <v>1067</v>
      </c>
      <c r="H12" s="20">
        <v>2448</v>
      </c>
      <c r="I12" s="20">
        <v>285</v>
      </c>
      <c r="J12" s="20">
        <v>120</v>
      </c>
      <c r="K12" s="23"/>
      <c r="L12" s="23">
        <v>0.15</v>
      </c>
      <c r="M12" s="23"/>
      <c r="N12" s="23"/>
      <c r="O12" s="23">
        <v>0.5</v>
      </c>
      <c r="P12" s="23"/>
      <c r="Q12" s="23"/>
      <c r="R12" s="23"/>
      <c r="S12" s="23"/>
      <c r="T12" s="23"/>
      <c r="U12" s="23"/>
    </row>
    <row r="13" spans="1:21">
      <c r="A13" s="16" t="s">
        <v>262</v>
      </c>
      <c r="B13" s="20" t="s">
        <v>43</v>
      </c>
      <c r="C13" s="20" t="s">
        <v>263</v>
      </c>
      <c r="D13" s="20" t="s">
        <v>242</v>
      </c>
      <c r="E13" s="20"/>
      <c r="F13" s="20">
        <v>238.49</v>
      </c>
      <c r="G13" s="20">
        <v>1255</v>
      </c>
      <c r="H13" s="20">
        <v>1255</v>
      </c>
      <c r="I13" s="20">
        <v>285</v>
      </c>
      <c r="J13" s="20">
        <v>160</v>
      </c>
      <c r="K13" s="23"/>
      <c r="L13" s="23"/>
      <c r="M13" s="23"/>
      <c r="N13" s="23">
        <v>0.3</v>
      </c>
      <c r="O13" s="23">
        <v>0.5</v>
      </c>
      <c r="P13" s="23"/>
      <c r="Q13" s="23"/>
      <c r="R13" s="23"/>
      <c r="S13" s="23"/>
      <c r="T13" s="23"/>
      <c r="U13" s="23"/>
    </row>
    <row r="14" spans="1:21">
      <c r="A14" s="16" t="s">
        <v>264</v>
      </c>
      <c r="B14" s="20" t="s">
        <v>10</v>
      </c>
      <c r="C14" s="20" t="s">
        <v>263</v>
      </c>
      <c r="D14" s="20" t="s">
        <v>265</v>
      </c>
      <c r="E14" s="20"/>
      <c r="F14" s="20">
        <v>163.18</v>
      </c>
      <c r="G14" s="20">
        <v>2322</v>
      </c>
      <c r="H14" s="20">
        <v>1506</v>
      </c>
      <c r="I14" s="20">
        <v>345</v>
      </c>
      <c r="J14" s="20">
        <v>200</v>
      </c>
      <c r="K14" s="23">
        <v>0.2</v>
      </c>
      <c r="L14" s="23"/>
      <c r="M14" s="23"/>
      <c r="N14" s="23"/>
      <c r="O14" s="23"/>
      <c r="P14" s="23">
        <v>0.5</v>
      </c>
      <c r="Q14" s="23"/>
      <c r="R14" s="23"/>
      <c r="S14" s="23"/>
      <c r="T14" s="23"/>
      <c r="U14" s="23"/>
    </row>
    <row r="15" spans="1:21">
      <c r="A15" s="16" t="s">
        <v>266</v>
      </c>
      <c r="B15" s="20" t="s">
        <v>10</v>
      </c>
      <c r="C15" s="20" t="s">
        <v>247</v>
      </c>
      <c r="D15" s="20" t="s">
        <v>265</v>
      </c>
      <c r="E15" s="20"/>
      <c r="F15" s="20">
        <v>175.73</v>
      </c>
      <c r="G15" s="20">
        <v>1318</v>
      </c>
      <c r="H15" s="20">
        <v>1318</v>
      </c>
      <c r="I15" s="20">
        <v>510</v>
      </c>
      <c r="J15" s="20">
        <v>120</v>
      </c>
      <c r="K15" s="23"/>
      <c r="L15" s="23">
        <v>0.15</v>
      </c>
      <c r="M15" s="23"/>
      <c r="N15" s="23"/>
      <c r="O15" s="23"/>
      <c r="P15" s="23"/>
      <c r="Q15" s="23"/>
      <c r="R15" s="23">
        <v>0.5</v>
      </c>
      <c r="S15" s="23"/>
      <c r="T15" s="23"/>
      <c r="U15" s="23"/>
    </row>
    <row r="16" spans="1:21">
      <c r="A16" s="16" t="s">
        <v>267</v>
      </c>
      <c r="B16" s="20" t="s">
        <v>72</v>
      </c>
      <c r="C16" s="20" t="s">
        <v>247</v>
      </c>
      <c r="D16" s="20" t="s">
        <v>242</v>
      </c>
      <c r="E16" s="20"/>
      <c r="F16" s="20">
        <v>276.15</v>
      </c>
      <c r="G16" s="20">
        <v>1506</v>
      </c>
      <c r="H16" s="20">
        <v>1506</v>
      </c>
      <c r="I16" s="20">
        <v>300</v>
      </c>
      <c r="J16" s="20">
        <v>100</v>
      </c>
      <c r="K16" s="23"/>
      <c r="L16" s="23">
        <v>0.15</v>
      </c>
      <c r="M16" s="23">
        <v>0.3</v>
      </c>
      <c r="N16" s="23"/>
      <c r="O16" s="23"/>
      <c r="P16" s="23"/>
      <c r="Q16" s="23"/>
      <c r="R16" s="23"/>
      <c r="S16" s="23"/>
      <c r="T16" s="23"/>
      <c r="U16" s="23"/>
    </row>
    <row r="17" spans="1:21">
      <c r="A17" s="16" t="s">
        <v>268</v>
      </c>
      <c r="B17" s="20" t="s">
        <v>72</v>
      </c>
      <c r="C17" s="20" t="s">
        <v>241</v>
      </c>
      <c r="D17" s="20" t="s">
        <v>265</v>
      </c>
      <c r="E17" s="20"/>
      <c r="F17" s="20">
        <v>263.59</v>
      </c>
      <c r="G17" s="20">
        <v>1318</v>
      </c>
      <c r="H17" s="20">
        <v>1318</v>
      </c>
      <c r="I17" s="20">
        <v>255</v>
      </c>
      <c r="J17" s="20">
        <v>180</v>
      </c>
      <c r="K17" s="23"/>
      <c r="L17" s="23"/>
      <c r="M17" s="23"/>
      <c r="N17" s="23">
        <v>0.3</v>
      </c>
      <c r="O17" s="23">
        <v>0.5</v>
      </c>
      <c r="P17" s="23"/>
      <c r="Q17" s="23"/>
      <c r="R17" s="23"/>
      <c r="S17" s="23"/>
      <c r="T17" s="23"/>
      <c r="U17" s="23"/>
    </row>
    <row r="18" spans="1:21">
      <c r="A18" s="16" t="s">
        <v>269</v>
      </c>
      <c r="B18" s="20" t="s">
        <v>72</v>
      </c>
      <c r="C18" s="20" t="s">
        <v>253</v>
      </c>
      <c r="D18" s="20" t="s">
        <v>251</v>
      </c>
      <c r="E18" s="21" t="s">
        <v>270</v>
      </c>
      <c r="F18" s="20">
        <v>301.25</v>
      </c>
      <c r="G18" s="20">
        <v>1130</v>
      </c>
      <c r="H18" s="20">
        <v>1130</v>
      </c>
      <c r="I18" s="20">
        <v>240</v>
      </c>
      <c r="J18" s="20">
        <v>150</v>
      </c>
      <c r="K18" s="23"/>
      <c r="L18" s="23">
        <v>0.15</v>
      </c>
      <c r="M18" s="23"/>
      <c r="N18" s="23"/>
      <c r="O18" s="23">
        <v>0.5</v>
      </c>
      <c r="P18" s="23"/>
      <c r="Q18" s="23"/>
      <c r="R18" s="23"/>
      <c r="S18" s="23"/>
      <c r="T18" s="23"/>
      <c r="U18" s="23"/>
    </row>
    <row r="19" spans="1:21">
      <c r="A19" s="16" t="s">
        <v>271</v>
      </c>
      <c r="B19" s="20" t="s">
        <v>79</v>
      </c>
      <c r="C19" s="20" t="s">
        <v>247</v>
      </c>
      <c r="D19" s="20" t="s">
        <v>254</v>
      </c>
      <c r="E19" s="21" t="s">
        <v>272</v>
      </c>
      <c r="F19" s="20">
        <v>251.05</v>
      </c>
      <c r="G19" s="20">
        <v>1255</v>
      </c>
      <c r="H19" s="20">
        <v>1255</v>
      </c>
      <c r="I19" s="20">
        <v>300</v>
      </c>
      <c r="J19" s="20">
        <v>150</v>
      </c>
      <c r="K19" s="23"/>
      <c r="L19" s="23"/>
      <c r="M19" s="36">
        <v>0.125</v>
      </c>
      <c r="N19" s="23"/>
      <c r="O19" s="23">
        <v>0.5</v>
      </c>
      <c r="P19" s="23"/>
      <c r="Q19" s="23"/>
      <c r="R19" s="23"/>
      <c r="S19" s="23"/>
      <c r="T19" s="23"/>
      <c r="U19" s="23"/>
    </row>
    <row r="20" spans="1:21">
      <c r="A20" s="31" t="s">
        <v>273</v>
      </c>
      <c r="B20" s="33" t="s">
        <v>79</v>
      </c>
      <c r="C20" s="33" t="s">
        <v>253</v>
      </c>
      <c r="D20" s="33" t="s">
        <v>251</v>
      </c>
      <c r="E20" s="33"/>
      <c r="F20" s="33">
        <v>263.59</v>
      </c>
      <c r="G20" s="33">
        <v>1632</v>
      </c>
      <c r="H20" s="33">
        <v>1632</v>
      </c>
      <c r="I20" s="33">
        <v>330</v>
      </c>
      <c r="J20" s="33">
        <v>180</v>
      </c>
      <c r="K20" s="35"/>
      <c r="L20" s="35"/>
      <c r="M20" s="64">
        <v>0.125</v>
      </c>
      <c r="N20" s="35"/>
      <c r="O20" s="35">
        <v>0.5</v>
      </c>
      <c r="P20" s="35"/>
      <c r="Q20" s="35"/>
      <c r="R20" s="35"/>
      <c r="S20" s="35"/>
      <c r="T20" s="35"/>
      <c r="U20" s="35"/>
    </row>
    <row r="21" spans="1:21">
      <c r="A21" s="31" t="s">
        <v>274</v>
      </c>
      <c r="B21" s="33" t="s">
        <v>10</v>
      </c>
      <c r="C21" s="33" t="s">
        <v>253</v>
      </c>
      <c r="D21" s="33" t="s">
        <v>254</v>
      </c>
      <c r="E21" s="33"/>
      <c r="F21" s="33">
        <v>301.25</v>
      </c>
      <c r="G21" s="33">
        <v>1004</v>
      </c>
      <c r="H21" s="33">
        <v>1757</v>
      </c>
      <c r="I21" s="33">
        <v>252</v>
      </c>
      <c r="J21" s="33">
        <v>240</v>
      </c>
      <c r="K21" s="35">
        <v>0.2</v>
      </c>
      <c r="L21" s="35"/>
      <c r="M21" s="35"/>
      <c r="N21" s="35"/>
      <c r="O21" s="35"/>
      <c r="P21" s="35"/>
      <c r="Q21" s="35"/>
      <c r="R21" s="35"/>
      <c r="S21" s="35"/>
      <c r="T21" s="35">
        <v>0.1</v>
      </c>
      <c r="U21" s="35"/>
    </row>
    <row r="22" spans="1:21">
      <c r="A22" s="31" t="s">
        <v>275</v>
      </c>
      <c r="B22" s="33" t="s">
        <v>23</v>
      </c>
      <c r="C22" s="33" t="s">
        <v>263</v>
      </c>
      <c r="D22" s="33" t="s">
        <v>249</v>
      </c>
      <c r="E22" s="33"/>
      <c r="F22" s="33">
        <v>288.7</v>
      </c>
      <c r="G22" s="33">
        <v>1318</v>
      </c>
      <c r="H22" s="33">
        <v>1318</v>
      </c>
      <c r="I22" s="33">
        <v>315</v>
      </c>
      <c r="J22" s="33">
        <v>150</v>
      </c>
      <c r="K22" s="35">
        <v>0.2</v>
      </c>
      <c r="L22" s="35">
        <v>0.15</v>
      </c>
      <c r="M22" s="35"/>
      <c r="N22" s="35"/>
      <c r="O22" s="35"/>
      <c r="P22" s="35"/>
      <c r="Q22" s="35"/>
      <c r="R22" s="35"/>
      <c r="S22" s="35"/>
      <c r="T22" s="35"/>
      <c r="U22" s="35"/>
    </row>
  </sheetData>
  <sheetProtection formatCells="0" insertHyperlinks="0" autoFilter="0"/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1"/>
  <sheetViews>
    <sheetView topLeftCell="A28" workbookViewId="0">
      <selection activeCell="P51" sqref="P51"/>
    </sheetView>
  </sheetViews>
  <sheetFormatPr defaultColWidth="9" defaultRowHeight="14.25"/>
  <cols>
    <col min="1" max="1" width="21.875" customWidth="1"/>
    <col min="2" max="2" width="13" customWidth="1"/>
    <col min="3" max="4" width="10.5" customWidth="1"/>
    <col min="5" max="6" width="11" customWidth="1"/>
    <col min="7" max="16" width="10.25" customWidth="1"/>
  </cols>
  <sheetData>
    <row r="1" spans="1:14">
      <c r="A1" s="14" t="s">
        <v>46</v>
      </c>
      <c r="B1" s="13" t="s">
        <v>16</v>
      </c>
      <c r="C1" s="13" t="s">
        <v>18</v>
      </c>
      <c r="D1" s="13" t="s">
        <v>152</v>
      </c>
      <c r="E1" s="14" t="s">
        <v>100</v>
      </c>
      <c r="F1" s="14" t="s">
        <v>102</v>
      </c>
      <c r="G1" s="14" t="s">
        <v>104</v>
      </c>
      <c r="H1" s="14" t="s">
        <v>106</v>
      </c>
      <c r="I1" s="14" t="s">
        <v>108</v>
      </c>
      <c r="J1" s="14" t="s">
        <v>276</v>
      </c>
      <c r="K1" s="14" t="s">
        <v>110</v>
      </c>
      <c r="L1" s="14" t="s">
        <v>277</v>
      </c>
      <c r="M1" s="14" t="s">
        <v>112</v>
      </c>
      <c r="N1" s="25" t="s">
        <v>114</v>
      </c>
    </row>
    <row r="2" spans="1:14">
      <c r="A2" s="20" t="s">
        <v>278</v>
      </c>
      <c r="B2" s="16" t="s">
        <v>240</v>
      </c>
      <c r="C2" s="16">
        <v>1</v>
      </c>
      <c r="D2" s="16" t="s">
        <v>68</v>
      </c>
      <c r="E2" s="23">
        <v>12.43</v>
      </c>
      <c r="F2" s="23"/>
      <c r="G2" s="23"/>
      <c r="H2" s="42"/>
      <c r="I2" s="42"/>
      <c r="J2" s="42">
        <v>50</v>
      </c>
      <c r="K2" s="42">
        <v>6</v>
      </c>
      <c r="L2" s="42"/>
      <c r="M2" s="42">
        <v>10</v>
      </c>
      <c r="N2" s="29">
        <v>20</v>
      </c>
    </row>
    <row r="3" spans="1:14">
      <c r="A3" s="20" t="s">
        <v>278</v>
      </c>
      <c r="B3" s="16" t="s">
        <v>240</v>
      </c>
      <c r="C3" s="16">
        <v>10</v>
      </c>
      <c r="D3" s="16" t="s">
        <v>68</v>
      </c>
      <c r="E3" s="23">
        <v>37.18</v>
      </c>
      <c r="F3" s="23"/>
      <c r="G3" s="23"/>
      <c r="H3" s="42"/>
      <c r="I3" s="42"/>
      <c r="J3" s="42">
        <v>50</v>
      </c>
      <c r="K3" s="42">
        <v>6</v>
      </c>
      <c r="L3" s="42"/>
      <c r="M3" s="42">
        <v>10</v>
      </c>
      <c r="N3" s="29">
        <v>20</v>
      </c>
    </row>
    <row r="4" spans="1:14">
      <c r="A4" s="20" t="s">
        <v>279</v>
      </c>
      <c r="B4" s="16" t="s">
        <v>240</v>
      </c>
      <c r="C4" s="16">
        <v>1</v>
      </c>
      <c r="D4" s="16" t="s">
        <v>68</v>
      </c>
      <c r="E4" s="23">
        <v>1.26</v>
      </c>
      <c r="F4" s="23"/>
      <c r="G4" s="23"/>
      <c r="H4" s="42"/>
      <c r="I4" s="42"/>
      <c r="J4" s="42">
        <v>50</v>
      </c>
      <c r="K4" s="42">
        <v>6</v>
      </c>
      <c r="L4" s="42"/>
      <c r="M4" s="42">
        <v>10</v>
      </c>
      <c r="N4" s="29">
        <v>20</v>
      </c>
    </row>
    <row r="5" spans="1:14">
      <c r="A5" s="20" t="s">
        <v>279</v>
      </c>
      <c r="B5" s="16" t="s">
        <v>240</v>
      </c>
      <c r="C5" s="16">
        <v>10</v>
      </c>
      <c r="D5" s="16" t="s">
        <v>68</v>
      </c>
      <c r="E5" s="23">
        <v>3.87</v>
      </c>
      <c r="F5" s="23"/>
      <c r="G5" s="23"/>
      <c r="H5" s="42"/>
      <c r="I5" s="42"/>
      <c r="J5" s="42">
        <v>50</v>
      </c>
      <c r="K5" s="42">
        <v>6</v>
      </c>
      <c r="L5" s="42"/>
      <c r="M5" s="42">
        <v>10</v>
      </c>
      <c r="N5" s="29">
        <v>20</v>
      </c>
    </row>
    <row r="6" spans="1:14">
      <c r="A6" s="20" t="s">
        <v>280</v>
      </c>
      <c r="B6" s="16" t="s">
        <v>240</v>
      </c>
      <c r="C6" s="16">
        <v>1</v>
      </c>
      <c r="D6" s="16" t="s">
        <v>68</v>
      </c>
      <c r="E6" s="23">
        <v>6.5</v>
      </c>
      <c r="F6" s="23"/>
      <c r="G6" s="23"/>
      <c r="H6" s="42"/>
      <c r="I6" s="42"/>
      <c r="J6" s="42"/>
      <c r="K6" s="42"/>
      <c r="L6" s="42"/>
      <c r="M6" s="42">
        <v>20</v>
      </c>
      <c r="N6" s="29"/>
    </row>
    <row r="7" spans="1:14">
      <c r="A7" s="20" t="s">
        <v>280</v>
      </c>
      <c r="B7" s="16" t="s">
        <v>240</v>
      </c>
      <c r="C7" s="16">
        <v>10</v>
      </c>
      <c r="D7" s="16" t="s">
        <v>68</v>
      </c>
      <c r="E7" s="23">
        <v>19.37</v>
      </c>
      <c r="F7" s="23"/>
      <c r="G7" s="23"/>
      <c r="H7" s="42"/>
      <c r="I7" s="42"/>
      <c r="J7" s="42"/>
      <c r="K7" s="42"/>
      <c r="L7" s="42"/>
      <c r="M7" s="42">
        <v>20</v>
      </c>
      <c r="N7" s="29"/>
    </row>
    <row r="8" spans="1:14">
      <c r="A8" s="20" t="s">
        <v>281</v>
      </c>
      <c r="B8" s="16" t="s">
        <v>240</v>
      </c>
      <c r="C8" s="16">
        <v>1</v>
      </c>
      <c r="D8" s="16" t="s">
        <v>68</v>
      </c>
      <c r="E8" s="23">
        <f>E6*1.84615+E4*2+E2/3</f>
        <v>18.6633083333333</v>
      </c>
      <c r="F8" s="23"/>
      <c r="G8" s="23"/>
      <c r="H8" s="42"/>
      <c r="I8" s="42"/>
      <c r="J8" s="42">
        <v>50</v>
      </c>
      <c r="K8" s="42">
        <v>6</v>
      </c>
      <c r="L8" s="42"/>
      <c r="M8" s="42"/>
      <c r="N8" s="29">
        <v>20</v>
      </c>
    </row>
    <row r="9" spans="1:14">
      <c r="A9" s="20" t="s">
        <v>281</v>
      </c>
      <c r="B9" s="16" t="s">
        <v>240</v>
      </c>
      <c r="C9" s="16">
        <v>10</v>
      </c>
      <c r="D9" s="16" t="s">
        <v>68</v>
      </c>
      <c r="E9" s="23">
        <f>E7*1.84615+E5*2+E3/3</f>
        <v>55.8932588333333</v>
      </c>
      <c r="F9" s="23"/>
      <c r="G9" s="23"/>
      <c r="H9" s="42"/>
      <c r="I9" s="42"/>
      <c r="J9" s="42">
        <v>50</v>
      </c>
      <c r="K9" s="42">
        <v>6</v>
      </c>
      <c r="L9" s="42"/>
      <c r="M9" s="42"/>
      <c r="N9" s="29">
        <v>20</v>
      </c>
    </row>
    <row r="10" spans="1:14">
      <c r="A10" s="20" t="s">
        <v>282</v>
      </c>
      <c r="B10" s="16" t="s">
        <v>243</v>
      </c>
      <c r="C10" s="16">
        <v>1</v>
      </c>
      <c r="D10" s="16" t="s">
        <v>68</v>
      </c>
      <c r="E10" s="23">
        <v>7.69</v>
      </c>
      <c r="F10" s="23"/>
      <c r="G10" s="23"/>
      <c r="H10" s="42"/>
      <c r="I10" s="42">
        <v>10</v>
      </c>
      <c r="J10" s="42"/>
      <c r="K10" s="42">
        <v>14</v>
      </c>
      <c r="L10" s="42"/>
      <c r="M10" s="42">
        <v>35</v>
      </c>
      <c r="N10" s="29"/>
    </row>
    <row r="11" spans="1:14">
      <c r="A11" s="20" t="s">
        <v>282</v>
      </c>
      <c r="B11" s="16" t="s">
        <v>243</v>
      </c>
      <c r="C11" s="16">
        <v>10</v>
      </c>
      <c r="D11" s="16" t="s">
        <v>68</v>
      </c>
      <c r="E11" s="23">
        <v>23.08</v>
      </c>
      <c r="F11" s="23"/>
      <c r="G11" s="23"/>
      <c r="H11" s="42"/>
      <c r="I11" s="42">
        <v>10</v>
      </c>
      <c r="J11" s="42"/>
      <c r="K11" s="42">
        <v>14</v>
      </c>
      <c r="L11" s="42"/>
      <c r="M11" s="42">
        <v>35</v>
      </c>
      <c r="N11" s="29"/>
    </row>
    <row r="12" spans="1:14">
      <c r="A12" s="20" t="s">
        <v>283</v>
      </c>
      <c r="B12" s="16" t="s">
        <v>243</v>
      </c>
      <c r="C12" s="16">
        <v>1</v>
      </c>
      <c r="D12" s="16" t="s">
        <v>68</v>
      </c>
      <c r="E12" s="23">
        <v>0.71</v>
      </c>
      <c r="F12" s="23"/>
      <c r="G12" s="23"/>
      <c r="H12" s="42"/>
      <c r="I12" s="42"/>
      <c r="J12" s="42"/>
      <c r="K12" s="42">
        <v>6</v>
      </c>
      <c r="L12" s="42"/>
      <c r="M12" s="42"/>
      <c r="N12" s="29"/>
    </row>
    <row r="13" spans="1:14">
      <c r="A13" s="20" t="s">
        <v>283</v>
      </c>
      <c r="B13" s="16" t="s">
        <v>243</v>
      </c>
      <c r="C13" s="16">
        <v>10</v>
      </c>
      <c r="D13" s="16" t="s">
        <v>68</v>
      </c>
      <c r="E13" s="23">
        <v>2.24</v>
      </c>
      <c r="F13" s="23"/>
      <c r="G13" s="23"/>
      <c r="H13" s="42"/>
      <c r="I13" s="42"/>
      <c r="J13" s="42"/>
      <c r="K13" s="42">
        <v>6</v>
      </c>
      <c r="L13" s="42"/>
      <c r="M13" s="42"/>
      <c r="N13" s="29"/>
    </row>
    <row r="14" spans="1:14">
      <c r="A14" s="20" t="s">
        <v>284</v>
      </c>
      <c r="B14" s="16" t="s">
        <v>243</v>
      </c>
      <c r="C14" s="16">
        <v>1</v>
      </c>
      <c r="D14" s="16" t="s">
        <v>68</v>
      </c>
      <c r="E14" s="23">
        <v>9.24</v>
      </c>
      <c r="F14" s="23"/>
      <c r="G14" s="23"/>
      <c r="H14" s="42"/>
      <c r="I14" s="42">
        <v>20</v>
      </c>
      <c r="J14" s="42"/>
      <c r="K14" s="42"/>
      <c r="L14" s="42"/>
      <c r="M14" s="42">
        <v>75</v>
      </c>
      <c r="N14" s="29"/>
    </row>
    <row r="15" spans="1:14">
      <c r="A15" s="20" t="s">
        <v>284</v>
      </c>
      <c r="B15" s="16" t="s">
        <v>243</v>
      </c>
      <c r="C15" s="16">
        <v>10</v>
      </c>
      <c r="D15" s="16" t="s">
        <v>68</v>
      </c>
      <c r="E15" s="23">
        <v>25.64</v>
      </c>
      <c r="F15" s="23"/>
      <c r="G15" s="23"/>
      <c r="H15" s="42"/>
      <c r="I15" s="42">
        <v>20</v>
      </c>
      <c r="J15" s="42"/>
      <c r="K15" s="42"/>
      <c r="L15" s="42"/>
      <c r="M15" s="42">
        <v>75</v>
      </c>
      <c r="N15" s="29"/>
    </row>
    <row r="16" spans="1:14">
      <c r="A16" s="20" t="s">
        <v>285</v>
      </c>
      <c r="B16" s="16" t="s">
        <v>243</v>
      </c>
      <c r="C16" s="16">
        <v>1</v>
      </c>
      <c r="D16" s="16" t="s">
        <v>68</v>
      </c>
      <c r="E16" s="23">
        <v>30.72</v>
      </c>
      <c r="F16" s="23"/>
      <c r="G16" s="23"/>
      <c r="H16" s="42"/>
      <c r="I16" s="42">
        <v>20</v>
      </c>
      <c r="J16" s="42"/>
      <c r="K16" s="42"/>
      <c r="L16" s="42"/>
      <c r="M16" s="42">
        <v>75</v>
      </c>
      <c r="N16" s="29"/>
    </row>
    <row r="17" spans="1:14">
      <c r="A17" s="20" t="s">
        <v>285</v>
      </c>
      <c r="B17" s="16" t="s">
        <v>243</v>
      </c>
      <c r="C17" s="16">
        <v>10</v>
      </c>
      <c r="D17" s="16" t="s">
        <v>68</v>
      </c>
      <c r="E17" s="23">
        <v>85.52</v>
      </c>
      <c r="F17" s="23"/>
      <c r="G17" s="23"/>
      <c r="H17" s="42"/>
      <c r="I17" s="42">
        <v>20</v>
      </c>
      <c r="J17" s="42"/>
      <c r="K17" s="42"/>
      <c r="L17" s="42"/>
      <c r="M17" s="42">
        <v>75</v>
      </c>
      <c r="N17" s="29"/>
    </row>
    <row r="18" spans="1:14">
      <c r="A18" s="20" t="s">
        <v>286</v>
      </c>
      <c r="B18" s="16" t="s">
        <v>246</v>
      </c>
      <c r="C18" s="16">
        <v>1</v>
      </c>
      <c r="D18" s="16" t="s">
        <v>68</v>
      </c>
      <c r="E18" s="23">
        <v>0.59</v>
      </c>
      <c r="F18" s="23"/>
      <c r="G18" s="23"/>
      <c r="H18" s="42"/>
      <c r="I18" s="42">
        <v>6</v>
      </c>
      <c r="J18" s="42"/>
      <c r="K18" s="42">
        <v>12</v>
      </c>
      <c r="L18" s="42"/>
      <c r="M18" s="42">
        <v>15</v>
      </c>
      <c r="N18" s="29"/>
    </row>
    <row r="19" spans="1:14">
      <c r="A19" s="20" t="s">
        <v>286</v>
      </c>
      <c r="B19" s="16" t="s">
        <v>246</v>
      </c>
      <c r="C19" s="16">
        <v>10</v>
      </c>
      <c r="D19" s="16" t="s">
        <v>68</v>
      </c>
      <c r="E19" s="23">
        <v>1.85</v>
      </c>
      <c r="F19" s="23"/>
      <c r="G19" s="23"/>
      <c r="H19" s="42"/>
      <c r="I19" s="42">
        <v>6</v>
      </c>
      <c r="J19" s="42"/>
      <c r="K19" s="42">
        <v>12</v>
      </c>
      <c r="L19" s="42"/>
      <c r="M19" s="42">
        <v>15</v>
      </c>
      <c r="N19" s="29"/>
    </row>
    <row r="20" spans="1:14">
      <c r="A20" s="20" t="s">
        <v>287</v>
      </c>
      <c r="B20" s="16" t="s">
        <v>246</v>
      </c>
      <c r="C20" s="16">
        <v>1</v>
      </c>
      <c r="D20" s="16" t="s">
        <v>68</v>
      </c>
      <c r="E20" s="23">
        <v>3.49</v>
      </c>
      <c r="F20" s="23"/>
      <c r="G20" s="23"/>
      <c r="H20" s="42"/>
      <c r="I20" s="42">
        <v>10</v>
      </c>
      <c r="J20" s="42"/>
      <c r="K20" s="42">
        <v>12</v>
      </c>
      <c r="L20" s="42"/>
      <c r="M20" s="42">
        <v>10</v>
      </c>
      <c r="N20" s="29">
        <v>12</v>
      </c>
    </row>
    <row r="21" spans="1:14">
      <c r="A21" s="20" t="s">
        <v>287</v>
      </c>
      <c r="B21" s="16" t="s">
        <v>246</v>
      </c>
      <c r="C21" s="16">
        <v>10</v>
      </c>
      <c r="D21" s="16" t="s">
        <v>68</v>
      </c>
      <c r="E21" s="23">
        <v>10.6</v>
      </c>
      <c r="F21" s="23"/>
      <c r="G21" s="23"/>
      <c r="H21" s="42"/>
      <c r="I21" s="42">
        <v>10</v>
      </c>
      <c r="J21" s="42"/>
      <c r="K21" s="42">
        <v>12</v>
      </c>
      <c r="L21" s="42"/>
      <c r="M21" s="42">
        <v>10</v>
      </c>
      <c r="N21" s="29">
        <v>12</v>
      </c>
    </row>
    <row r="22" spans="1:14">
      <c r="A22" s="20" t="s">
        <v>288</v>
      </c>
      <c r="B22" s="16" t="s">
        <v>248</v>
      </c>
      <c r="C22" s="16">
        <v>1</v>
      </c>
      <c r="D22" s="16" t="s">
        <v>68</v>
      </c>
      <c r="E22" s="23">
        <v>0.53</v>
      </c>
      <c r="F22" s="23"/>
      <c r="G22" s="23"/>
      <c r="H22" s="42"/>
      <c r="I22" s="42">
        <v>0</v>
      </c>
      <c r="J22" s="42"/>
      <c r="K22" s="42">
        <v>12</v>
      </c>
      <c r="L22" s="42"/>
      <c r="M22" s="42">
        <v>50</v>
      </c>
      <c r="N22" s="29"/>
    </row>
    <row r="23" spans="1:14">
      <c r="A23" s="20" t="s">
        <v>288</v>
      </c>
      <c r="B23" s="16" t="s">
        <v>248</v>
      </c>
      <c r="C23" s="16">
        <v>10</v>
      </c>
      <c r="D23" s="16" t="s">
        <v>68</v>
      </c>
      <c r="E23" s="23">
        <v>1.7</v>
      </c>
      <c r="F23" s="23"/>
      <c r="G23" s="23"/>
      <c r="H23" s="42"/>
      <c r="I23" s="42">
        <v>0</v>
      </c>
      <c r="J23" s="42"/>
      <c r="K23" s="42">
        <v>12</v>
      </c>
      <c r="L23" s="42"/>
      <c r="M23" s="42">
        <v>50</v>
      </c>
      <c r="N23" s="29"/>
    </row>
    <row r="24" spans="1:14">
      <c r="A24" s="20" t="s">
        <v>289</v>
      </c>
      <c r="B24" s="16" t="s">
        <v>250</v>
      </c>
      <c r="C24" s="16">
        <v>1</v>
      </c>
      <c r="D24" s="16" t="s">
        <v>68</v>
      </c>
      <c r="E24" s="23">
        <v>1.57</v>
      </c>
      <c r="F24" s="23"/>
      <c r="G24" s="23"/>
      <c r="H24" s="42"/>
      <c r="I24" s="42">
        <v>6</v>
      </c>
      <c r="J24" s="42"/>
      <c r="K24" s="42"/>
      <c r="L24" s="42"/>
      <c r="M24" s="42">
        <v>10</v>
      </c>
      <c r="N24" s="29">
        <v>20</v>
      </c>
    </row>
    <row r="25" spans="1:14">
      <c r="A25" s="20" t="s">
        <v>289</v>
      </c>
      <c r="B25" s="16" t="s">
        <v>250</v>
      </c>
      <c r="C25" s="16">
        <v>10</v>
      </c>
      <c r="D25" s="16" t="s">
        <v>68</v>
      </c>
      <c r="E25" s="23">
        <v>4.63</v>
      </c>
      <c r="F25" s="23"/>
      <c r="G25" s="23"/>
      <c r="H25" s="42"/>
      <c r="I25" s="42">
        <v>6</v>
      </c>
      <c r="J25" s="42"/>
      <c r="K25" s="42"/>
      <c r="L25" s="42"/>
      <c r="M25" s="42">
        <v>10</v>
      </c>
      <c r="N25" s="29">
        <v>20</v>
      </c>
    </row>
    <row r="26" spans="1:14">
      <c r="A26" s="20" t="s">
        <v>290</v>
      </c>
      <c r="B26" s="16" t="s">
        <v>250</v>
      </c>
      <c r="C26" s="16">
        <v>1</v>
      </c>
      <c r="D26" s="16" t="s">
        <v>68</v>
      </c>
      <c r="E26" s="23">
        <v>1.87</v>
      </c>
      <c r="F26" s="23"/>
      <c r="G26" s="23"/>
      <c r="H26" s="42"/>
      <c r="I26" s="42">
        <v>50</v>
      </c>
      <c r="J26" s="42"/>
      <c r="K26" s="42">
        <v>8</v>
      </c>
      <c r="L26" s="42"/>
      <c r="M26" s="42">
        <v>10</v>
      </c>
      <c r="N26" s="29">
        <v>20</v>
      </c>
    </row>
    <row r="27" spans="1:14">
      <c r="A27" s="20" t="s">
        <v>290</v>
      </c>
      <c r="B27" s="16" t="s">
        <v>250</v>
      </c>
      <c r="C27" s="16">
        <v>10</v>
      </c>
      <c r="D27" s="16" t="s">
        <v>68</v>
      </c>
      <c r="E27" s="23">
        <v>5.56</v>
      </c>
      <c r="F27" s="23"/>
      <c r="G27" s="23"/>
      <c r="H27" s="42"/>
      <c r="I27" s="42">
        <v>20</v>
      </c>
      <c r="J27" s="42"/>
      <c r="K27" s="42">
        <v>8</v>
      </c>
      <c r="L27" s="42"/>
      <c r="M27" s="42">
        <v>10</v>
      </c>
      <c r="N27" s="29">
        <v>20</v>
      </c>
    </row>
    <row r="28" spans="1:14">
      <c r="A28" s="20" t="s">
        <v>291</v>
      </c>
      <c r="B28" s="16" t="s">
        <v>252</v>
      </c>
      <c r="C28" s="16">
        <v>1</v>
      </c>
      <c r="D28" s="16" t="s">
        <v>68</v>
      </c>
      <c r="E28" s="23">
        <v>1.96</v>
      </c>
      <c r="F28" s="23"/>
      <c r="G28" s="23"/>
      <c r="H28" s="42"/>
      <c r="I28" s="42">
        <v>20</v>
      </c>
      <c r="J28" s="42"/>
      <c r="K28" s="42">
        <v>8</v>
      </c>
      <c r="L28" s="42"/>
      <c r="M28" s="42">
        <v>10</v>
      </c>
      <c r="N28" s="29"/>
    </row>
    <row r="29" spans="1:14">
      <c r="A29" s="20" t="s">
        <v>291</v>
      </c>
      <c r="B29" s="16" t="s">
        <v>252</v>
      </c>
      <c r="C29" s="16">
        <v>10</v>
      </c>
      <c r="D29" s="16" t="s">
        <v>68</v>
      </c>
      <c r="E29" s="23">
        <v>5.83</v>
      </c>
      <c r="F29" s="23"/>
      <c r="G29" s="23"/>
      <c r="H29" s="42"/>
      <c r="I29" s="42">
        <v>20</v>
      </c>
      <c r="J29" s="42"/>
      <c r="K29" s="42">
        <v>8</v>
      </c>
      <c r="L29" s="42"/>
      <c r="M29" s="42">
        <v>10</v>
      </c>
      <c r="N29" s="29"/>
    </row>
    <row r="30" spans="1:14">
      <c r="A30" s="20" t="s">
        <v>292</v>
      </c>
      <c r="B30" s="16" t="s">
        <v>252</v>
      </c>
      <c r="C30" s="16">
        <v>1</v>
      </c>
      <c r="D30" s="16" t="s">
        <v>68</v>
      </c>
      <c r="E30" s="23">
        <v>6.6</v>
      </c>
      <c r="F30" s="23"/>
      <c r="G30" s="23"/>
      <c r="H30" s="42"/>
      <c r="I30" s="42">
        <v>20</v>
      </c>
      <c r="J30" s="42"/>
      <c r="K30" s="42">
        <v>8</v>
      </c>
      <c r="L30" s="42"/>
      <c r="M30" s="42">
        <v>10</v>
      </c>
      <c r="N30" s="29"/>
    </row>
    <row r="31" spans="1:14">
      <c r="A31" s="20" t="s">
        <v>292</v>
      </c>
      <c r="B31" s="16" t="s">
        <v>252</v>
      </c>
      <c r="C31" s="16">
        <v>10</v>
      </c>
      <c r="D31" s="16" t="s">
        <v>68</v>
      </c>
      <c r="E31" s="23">
        <v>19.2</v>
      </c>
      <c r="F31" s="23"/>
      <c r="G31" s="23"/>
      <c r="H31" s="42"/>
      <c r="I31" s="42">
        <v>50</v>
      </c>
      <c r="J31" s="42"/>
      <c r="K31" s="42">
        <v>8</v>
      </c>
      <c r="L31" s="42"/>
      <c r="M31" s="42">
        <v>10</v>
      </c>
      <c r="N31" s="29"/>
    </row>
    <row r="32" spans="1:14">
      <c r="A32" s="20" t="s">
        <v>293</v>
      </c>
      <c r="B32" s="16" t="s">
        <v>256</v>
      </c>
      <c r="C32" s="16">
        <v>1</v>
      </c>
      <c r="D32" s="16" t="s">
        <v>68</v>
      </c>
      <c r="E32" s="23"/>
      <c r="F32" s="23"/>
      <c r="G32" s="23">
        <v>0.36</v>
      </c>
      <c r="H32" s="42">
        <v>128</v>
      </c>
      <c r="I32" s="42">
        <v>10</v>
      </c>
      <c r="J32" s="42"/>
      <c r="K32" s="42">
        <v>15</v>
      </c>
      <c r="L32" s="42"/>
      <c r="M32" s="42">
        <v>75</v>
      </c>
      <c r="N32" s="29"/>
    </row>
    <row r="33" spans="1:14">
      <c r="A33" s="20" t="s">
        <v>293</v>
      </c>
      <c r="B33" s="16" t="s">
        <v>256</v>
      </c>
      <c r="C33" s="16">
        <v>10</v>
      </c>
      <c r="D33" s="16" t="s">
        <v>68</v>
      </c>
      <c r="E33" s="23"/>
      <c r="F33" s="23"/>
      <c r="G33" s="23">
        <v>1.17</v>
      </c>
      <c r="H33" s="42">
        <v>371</v>
      </c>
      <c r="I33" s="42">
        <v>10</v>
      </c>
      <c r="J33" s="42"/>
      <c r="K33" s="42">
        <v>15</v>
      </c>
      <c r="L33" s="42"/>
      <c r="M33" s="42">
        <v>75</v>
      </c>
      <c r="N33" s="29"/>
    </row>
    <row r="34" spans="1:14">
      <c r="A34" s="20" t="s">
        <v>294</v>
      </c>
      <c r="B34" s="16" t="s">
        <v>256</v>
      </c>
      <c r="C34" s="16">
        <v>1</v>
      </c>
      <c r="D34" s="16" t="s">
        <v>68</v>
      </c>
      <c r="E34" s="23"/>
      <c r="F34" s="23"/>
      <c r="G34" s="23">
        <v>0.24</v>
      </c>
      <c r="H34" s="42"/>
      <c r="I34" s="42">
        <v>10</v>
      </c>
      <c r="J34" s="42"/>
      <c r="K34" s="42">
        <v>15</v>
      </c>
      <c r="L34" s="42"/>
      <c r="M34" s="42">
        <v>75</v>
      </c>
      <c r="N34" s="29"/>
    </row>
    <row r="35" spans="1:14">
      <c r="A35" s="20" t="s">
        <v>294</v>
      </c>
      <c r="B35" s="16" t="s">
        <v>256</v>
      </c>
      <c r="C35" s="16">
        <v>10</v>
      </c>
      <c r="D35" s="16" t="s">
        <v>68</v>
      </c>
      <c r="E35" s="23"/>
      <c r="F35" s="23"/>
      <c r="G35" s="23">
        <v>0.6</v>
      </c>
      <c r="H35" s="42"/>
      <c r="I35" s="42">
        <v>10</v>
      </c>
      <c r="J35" s="42"/>
      <c r="K35" s="42">
        <v>15</v>
      </c>
      <c r="L35" s="42"/>
      <c r="M35" s="42">
        <v>75</v>
      </c>
      <c r="N35" s="29"/>
    </row>
    <row r="36" spans="1:14">
      <c r="A36" s="20" t="s">
        <v>295</v>
      </c>
      <c r="B36" s="16" t="s">
        <v>256</v>
      </c>
      <c r="C36" s="16">
        <v>1</v>
      </c>
      <c r="D36" s="16" t="s">
        <v>68</v>
      </c>
      <c r="E36" s="23"/>
      <c r="F36" s="23"/>
      <c r="G36" s="23">
        <v>0.67</v>
      </c>
      <c r="H36" s="42">
        <v>110</v>
      </c>
      <c r="I36" s="42">
        <v>20</v>
      </c>
      <c r="J36" s="42"/>
      <c r="K36" s="42">
        <v>0</v>
      </c>
      <c r="L36" s="42"/>
      <c r="M36" s="42">
        <v>0</v>
      </c>
      <c r="N36" s="29"/>
    </row>
    <row r="37" spans="1:14">
      <c r="A37" s="20" t="s">
        <v>295</v>
      </c>
      <c r="B37" s="16" t="s">
        <v>256</v>
      </c>
      <c r="C37" s="16">
        <v>10</v>
      </c>
      <c r="D37" s="16" t="s">
        <v>68</v>
      </c>
      <c r="E37" s="23"/>
      <c r="F37" s="23"/>
      <c r="G37" s="23">
        <v>2.02</v>
      </c>
      <c r="H37" s="42">
        <v>317</v>
      </c>
      <c r="I37" s="42">
        <v>20</v>
      </c>
      <c r="J37" s="42"/>
      <c r="K37" s="42">
        <v>0</v>
      </c>
      <c r="L37" s="42"/>
      <c r="M37" s="42">
        <v>0</v>
      </c>
      <c r="N37" s="29"/>
    </row>
    <row r="38" spans="1:14">
      <c r="A38" s="20" t="s">
        <v>296</v>
      </c>
      <c r="B38" s="16" t="s">
        <v>257</v>
      </c>
      <c r="C38" s="16">
        <v>1</v>
      </c>
      <c r="D38" s="16" t="s">
        <v>68</v>
      </c>
      <c r="E38" s="23">
        <v>5.02</v>
      </c>
      <c r="F38" s="23"/>
      <c r="G38" s="23"/>
      <c r="H38" s="42"/>
      <c r="I38" s="42">
        <v>15</v>
      </c>
      <c r="J38" s="42"/>
      <c r="K38" s="42"/>
      <c r="L38" s="42"/>
      <c r="M38" s="42">
        <v>15</v>
      </c>
      <c r="N38" s="29"/>
    </row>
    <row r="39" spans="1:14">
      <c r="A39" s="20" t="s">
        <v>296</v>
      </c>
      <c r="B39" s="16" t="s">
        <v>257</v>
      </c>
      <c r="C39" s="16">
        <v>10</v>
      </c>
      <c r="D39" s="16" t="s">
        <v>68</v>
      </c>
      <c r="E39" s="23">
        <v>15.1</v>
      </c>
      <c r="F39" s="23"/>
      <c r="G39" s="23"/>
      <c r="H39" s="42"/>
      <c r="I39" s="42">
        <v>15</v>
      </c>
      <c r="J39" s="42"/>
      <c r="K39" s="42"/>
      <c r="L39" s="42"/>
      <c r="M39" s="42">
        <v>15</v>
      </c>
      <c r="N39" s="29"/>
    </row>
    <row r="40" spans="1:14">
      <c r="A40" s="20" t="s">
        <v>297</v>
      </c>
      <c r="B40" s="16" t="s">
        <v>257</v>
      </c>
      <c r="C40" s="16">
        <v>1</v>
      </c>
      <c r="D40" s="16" t="s">
        <v>68</v>
      </c>
      <c r="E40" s="23">
        <v>8.36</v>
      </c>
      <c r="F40" s="23"/>
      <c r="G40" s="23"/>
      <c r="H40" s="42"/>
      <c r="I40" s="42">
        <v>15</v>
      </c>
      <c r="J40" s="42"/>
      <c r="K40" s="42"/>
      <c r="L40" s="42"/>
      <c r="M40" s="42">
        <v>15</v>
      </c>
      <c r="N40" s="29"/>
    </row>
    <row r="41" spans="1:14">
      <c r="A41" s="20" t="s">
        <v>297</v>
      </c>
      <c r="B41" s="16" t="s">
        <v>257</v>
      </c>
      <c r="C41" s="16">
        <v>10</v>
      </c>
      <c r="D41" s="16" t="s">
        <v>68</v>
      </c>
      <c r="E41" s="23">
        <v>25.1</v>
      </c>
      <c r="F41" s="23"/>
      <c r="G41" s="23"/>
      <c r="H41" s="42"/>
      <c r="I41" s="42">
        <v>15</v>
      </c>
      <c r="J41" s="42"/>
      <c r="K41" s="42"/>
      <c r="L41" s="42"/>
      <c r="M41" s="42">
        <v>15</v>
      </c>
      <c r="N41" s="29"/>
    </row>
    <row r="42" spans="1:14">
      <c r="A42" s="20" t="s">
        <v>298</v>
      </c>
      <c r="B42" s="16" t="s">
        <v>257</v>
      </c>
      <c r="C42" s="16">
        <v>1</v>
      </c>
      <c r="D42" s="16" t="s">
        <v>68</v>
      </c>
      <c r="E42" s="23">
        <v>6.95</v>
      </c>
      <c r="F42" s="23"/>
      <c r="G42" s="23"/>
      <c r="H42" s="42"/>
      <c r="I42" s="42">
        <v>20</v>
      </c>
      <c r="J42" s="42"/>
      <c r="K42" s="42">
        <v>15</v>
      </c>
      <c r="L42" s="42"/>
      <c r="M42" s="42">
        <v>30</v>
      </c>
      <c r="N42" s="29"/>
    </row>
    <row r="43" spans="1:14">
      <c r="A43" s="20" t="s">
        <v>298</v>
      </c>
      <c r="B43" s="16" t="s">
        <v>257</v>
      </c>
      <c r="C43" s="16">
        <v>10</v>
      </c>
      <c r="D43" s="16" t="s">
        <v>68</v>
      </c>
      <c r="E43" s="23">
        <v>20.9</v>
      </c>
      <c r="F43" s="23"/>
      <c r="G43" s="23"/>
      <c r="H43" s="42"/>
      <c r="I43" s="42">
        <v>20</v>
      </c>
      <c r="J43" s="42"/>
      <c r="K43" s="42">
        <v>15</v>
      </c>
      <c r="L43" s="42"/>
      <c r="M43" s="42">
        <v>30</v>
      </c>
      <c r="N43" s="29"/>
    </row>
    <row r="44" spans="1:14">
      <c r="A44" s="20" t="s">
        <v>299</v>
      </c>
      <c r="B44" s="16" t="s">
        <v>257</v>
      </c>
      <c r="C44" s="16">
        <v>1</v>
      </c>
      <c r="D44" s="16" t="s">
        <v>68</v>
      </c>
      <c r="E44" s="23">
        <v>34.75</v>
      </c>
      <c r="F44" s="23"/>
      <c r="G44" s="23"/>
      <c r="H44" s="42"/>
      <c r="I44" s="42">
        <v>20</v>
      </c>
      <c r="J44" s="42"/>
      <c r="K44" s="42">
        <v>15</v>
      </c>
      <c r="L44" s="42"/>
      <c r="M44" s="42">
        <v>30</v>
      </c>
      <c r="N44" s="29"/>
    </row>
    <row r="45" spans="1:14">
      <c r="A45" s="20" t="s">
        <v>299</v>
      </c>
      <c r="B45" s="16" t="s">
        <v>257</v>
      </c>
      <c r="C45" s="16">
        <v>10</v>
      </c>
      <c r="D45" s="16" t="s">
        <v>68</v>
      </c>
      <c r="E45" s="23">
        <v>114.5</v>
      </c>
      <c r="F45" s="23"/>
      <c r="G45" s="23"/>
      <c r="H45" s="42"/>
      <c r="I45" s="42">
        <v>20</v>
      </c>
      <c r="J45" s="42"/>
      <c r="K45" s="42">
        <v>15</v>
      </c>
      <c r="L45" s="42"/>
      <c r="M45" s="42">
        <v>30</v>
      </c>
      <c r="N45" s="29"/>
    </row>
    <row r="46" spans="1:14">
      <c r="A46" s="20" t="s">
        <v>98</v>
      </c>
      <c r="B46" s="16" t="s">
        <v>17</v>
      </c>
      <c r="C46" s="16">
        <v>1</v>
      </c>
      <c r="D46" s="16" t="s">
        <v>68</v>
      </c>
      <c r="E46" s="23">
        <v>0.127</v>
      </c>
      <c r="F46" s="23"/>
      <c r="G46" s="23"/>
      <c r="H46" s="42"/>
      <c r="I46" s="42"/>
      <c r="J46" s="42">
        <v>50</v>
      </c>
      <c r="K46" s="42">
        <v>10</v>
      </c>
      <c r="L46" s="42"/>
      <c r="M46" s="42">
        <v>30</v>
      </c>
      <c r="N46" s="29"/>
    </row>
    <row r="47" spans="1:14">
      <c r="A47" s="20" t="s">
        <v>98</v>
      </c>
      <c r="B47" s="16" t="s">
        <v>17</v>
      </c>
      <c r="C47" s="16">
        <v>10</v>
      </c>
      <c r="D47" s="16" t="s">
        <v>68</v>
      </c>
      <c r="E47" s="23">
        <v>0.37</v>
      </c>
      <c r="F47" s="23"/>
      <c r="G47" s="23"/>
      <c r="H47" s="42"/>
      <c r="I47" s="42"/>
      <c r="J47" s="42">
        <v>50</v>
      </c>
      <c r="K47" s="42">
        <v>10</v>
      </c>
      <c r="L47" s="42"/>
      <c r="M47" s="42">
        <v>30</v>
      </c>
      <c r="N47" s="29"/>
    </row>
    <row r="48" spans="1:14">
      <c r="A48" s="20" t="s">
        <v>300</v>
      </c>
      <c r="B48" s="16" t="s">
        <v>17</v>
      </c>
      <c r="C48" s="16">
        <v>1</v>
      </c>
      <c r="D48" s="16" t="s">
        <v>68</v>
      </c>
      <c r="E48" s="23">
        <v>0.424</v>
      </c>
      <c r="F48" s="23"/>
      <c r="G48" s="23"/>
      <c r="H48" s="42"/>
      <c r="I48" s="42"/>
      <c r="J48" s="42">
        <v>50</v>
      </c>
      <c r="K48" s="42">
        <v>10</v>
      </c>
      <c r="L48" s="42"/>
      <c r="M48" s="42">
        <v>30</v>
      </c>
      <c r="N48" s="29"/>
    </row>
    <row r="49" spans="1:14">
      <c r="A49" s="20" t="s">
        <v>300</v>
      </c>
      <c r="B49" s="16" t="s">
        <v>17</v>
      </c>
      <c r="C49" s="16">
        <v>10</v>
      </c>
      <c r="D49" s="16" t="s">
        <v>68</v>
      </c>
      <c r="E49" s="23">
        <v>1.27</v>
      </c>
      <c r="F49" s="23"/>
      <c r="G49" s="23"/>
      <c r="H49" s="42"/>
      <c r="I49" s="42"/>
      <c r="J49" s="42">
        <v>50</v>
      </c>
      <c r="K49" s="42">
        <v>10</v>
      </c>
      <c r="L49" s="42"/>
      <c r="M49" s="42">
        <v>30</v>
      </c>
      <c r="N49" s="29"/>
    </row>
    <row r="50" customFormat="1" spans="1:14">
      <c r="A50" s="20" t="s">
        <v>301</v>
      </c>
      <c r="B50" s="16" t="s">
        <v>17</v>
      </c>
      <c r="C50" s="16">
        <v>1</v>
      </c>
      <c r="D50" s="16" t="s">
        <v>94</v>
      </c>
      <c r="E50" s="23">
        <v>0.664</v>
      </c>
      <c r="F50" s="23"/>
      <c r="G50" s="23"/>
      <c r="H50" s="42"/>
      <c r="I50" s="42">
        <v>3</v>
      </c>
      <c r="J50" s="42"/>
      <c r="K50" s="42"/>
      <c r="L50" s="42"/>
      <c r="M50" s="42">
        <v>10</v>
      </c>
      <c r="N50" s="29">
        <v>30</v>
      </c>
    </row>
    <row r="51" customFormat="1" spans="1:14">
      <c r="A51" s="20" t="s">
        <v>301</v>
      </c>
      <c r="B51" s="16" t="s">
        <v>17</v>
      </c>
      <c r="C51" s="16">
        <v>10</v>
      </c>
      <c r="D51" s="16" t="s">
        <v>94</v>
      </c>
      <c r="E51" s="23">
        <v>1.33</v>
      </c>
      <c r="F51" s="23"/>
      <c r="G51" s="23"/>
      <c r="H51" s="42"/>
      <c r="I51" s="42">
        <v>3</v>
      </c>
      <c r="J51" s="42"/>
      <c r="K51" s="42"/>
      <c r="L51" s="42"/>
      <c r="M51" s="42">
        <v>10</v>
      </c>
      <c r="N51" s="29">
        <v>30</v>
      </c>
    </row>
    <row r="52" spans="1:14">
      <c r="A52" s="20" t="s">
        <v>302</v>
      </c>
      <c r="B52" s="16" t="s">
        <v>259</v>
      </c>
      <c r="C52" s="16">
        <v>1</v>
      </c>
      <c r="D52" s="16" t="s">
        <v>68</v>
      </c>
      <c r="E52" s="23"/>
      <c r="F52" s="23"/>
      <c r="G52" s="23">
        <v>0.14</v>
      </c>
      <c r="H52" s="42">
        <v>15</v>
      </c>
      <c r="I52" s="42"/>
      <c r="J52" s="42"/>
      <c r="K52" s="42">
        <v>6</v>
      </c>
      <c r="L52" s="42"/>
      <c r="M52" s="42"/>
      <c r="N52" s="29"/>
    </row>
    <row r="53" spans="1:14">
      <c r="A53" s="20" t="s">
        <v>302</v>
      </c>
      <c r="B53" s="16" t="s">
        <v>259</v>
      </c>
      <c r="C53" s="16">
        <v>10</v>
      </c>
      <c r="D53" s="16" t="s">
        <v>68</v>
      </c>
      <c r="E53" s="23"/>
      <c r="F53" s="23"/>
      <c r="G53" s="23">
        <v>0.5</v>
      </c>
      <c r="H53" s="42">
        <v>51</v>
      </c>
      <c r="I53" s="42"/>
      <c r="J53" s="42"/>
      <c r="K53" s="42">
        <v>6</v>
      </c>
      <c r="L53" s="42"/>
      <c r="M53" s="42"/>
      <c r="N53" s="29"/>
    </row>
    <row r="54" spans="1:14">
      <c r="A54" s="20" t="s">
        <v>303</v>
      </c>
      <c r="B54" s="16" t="s">
        <v>259</v>
      </c>
      <c r="C54" s="16">
        <v>1</v>
      </c>
      <c r="D54" s="16" t="s">
        <v>68</v>
      </c>
      <c r="E54" s="23"/>
      <c r="F54" s="23"/>
      <c r="G54" s="23">
        <v>1.19</v>
      </c>
      <c r="H54" s="42">
        <v>125</v>
      </c>
      <c r="I54" s="42"/>
      <c r="J54" s="42"/>
      <c r="K54" s="42">
        <v>0</v>
      </c>
      <c r="L54" s="42"/>
      <c r="M54" s="42">
        <v>60</v>
      </c>
      <c r="N54" s="29"/>
    </row>
    <row r="55" spans="1:14">
      <c r="A55" s="20" t="s">
        <v>303</v>
      </c>
      <c r="B55" s="16" t="s">
        <v>259</v>
      </c>
      <c r="C55" s="16">
        <v>10</v>
      </c>
      <c r="D55" s="16" t="s">
        <v>68</v>
      </c>
      <c r="E55" s="23"/>
      <c r="F55" s="23"/>
      <c r="G55" s="23">
        <v>3.62</v>
      </c>
      <c r="H55" s="42">
        <v>368</v>
      </c>
      <c r="I55" s="42"/>
      <c r="J55" s="42"/>
      <c r="K55" s="42">
        <v>0</v>
      </c>
      <c r="L55" s="42"/>
      <c r="M55" s="42">
        <v>60</v>
      </c>
      <c r="N55" s="29"/>
    </row>
    <row r="56" spans="1:14">
      <c r="A56" s="20" t="s">
        <v>304</v>
      </c>
      <c r="B56" s="16" t="s">
        <v>260</v>
      </c>
      <c r="C56" s="16">
        <v>1</v>
      </c>
      <c r="D56" s="16" t="s">
        <v>68</v>
      </c>
      <c r="E56" s="23"/>
      <c r="F56" s="23"/>
      <c r="G56" s="23"/>
      <c r="H56" s="42"/>
      <c r="I56" s="42"/>
      <c r="J56" s="42"/>
      <c r="K56" s="42">
        <v>16</v>
      </c>
      <c r="L56" s="42"/>
      <c r="M56" s="42">
        <v>10</v>
      </c>
      <c r="N56" s="29"/>
    </row>
    <row r="57" spans="1:14">
      <c r="A57" s="20" t="s">
        <v>304</v>
      </c>
      <c r="B57" s="16" t="s">
        <v>260</v>
      </c>
      <c r="C57" s="16">
        <v>10</v>
      </c>
      <c r="D57" s="16" t="s">
        <v>68</v>
      </c>
      <c r="E57" s="23"/>
      <c r="F57" s="23"/>
      <c r="G57" s="23"/>
      <c r="H57" s="42"/>
      <c r="I57" s="42"/>
      <c r="J57" s="42"/>
      <c r="K57" s="42">
        <v>16</v>
      </c>
      <c r="L57" s="42"/>
      <c r="M57" s="42">
        <v>10</v>
      </c>
      <c r="N57" s="29"/>
    </row>
    <row r="58" customFormat="1" spans="1:14">
      <c r="A58" s="20" t="s">
        <v>305</v>
      </c>
      <c r="B58" s="16" t="s">
        <v>260</v>
      </c>
      <c r="C58" s="16">
        <v>1</v>
      </c>
      <c r="D58" s="16" t="s">
        <v>68</v>
      </c>
      <c r="E58" s="23">
        <v>6.75</v>
      </c>
      <c r="F58" s="23"/>
      <c r="G58" s="23"/>
      <c r="H58" s="42"/>
      <c r="I58" s="42"/>
      <c r="J58" s="42"/>
      <c r="K58" s="42">
        <v>15</v>
      </c>
      <c r="L58" s="42"/>
      <c r="M58" s="42">
        <v>10</v>
      </c>
      <c r="N58" s="29"/>
    </row>
    <row r="59" customFormat="1" spans="1:14">
      <c r="A59" s="20" t="s">
        <v>305</v>
      </c>
      <c r="B59" s="16" t="s">
        <v>260</v>
      </c>
      <c r="C59" s="16">
        <v>10</v>
      </c>
      <c r="D59" s="16" t="s">
        <v>68</v>
      </c>
      <c r="E59" s="23">
        <v>20.16</v>
      </c>
      <c r="F59" s="23"/>
      <c r="G59" s="23"/>
      <c r="H59" s="42"/>
      <c r="I59" s="42"/>
      <c r="J59" s="42"/>
      <c r="K59" s="42">
        <v>15</v>
      </c>
      <c r="L59" s="42"/>
      <c r="M59" s="42">
        <v>10</v>
      </c>
      <c r="N59" s="29"/>
    </row>
    <row r="60" spans="1:14">
      <c r="A60" s="20" t="s">
        <v>306</v>
      </c>
      <c r="B60" s="16" t="s">
        <v>262</v>
      </c>
      <c r="C60" s="16">
        <v>1</v>
      </c>
      <c r="D60" s="16" t="s">
        <v>68</v>
      </c>
      <c r="E60" s="23"/>
      <c r="F60" s="23"/>
      <c r="G60" s="23"/>
      <c r="H60" s="42"/>
      <c r="I60" s="42"/>
      <c r="J60" s="42"/>
      <c r="K60" s="42"/>
      <c r="L60" s="42"/>
      <c r="M60" s="42">
        <v>0</v>
      </c>
      <c r="N60" s="29"/>
    </row>
    <row r="61" spans="1:14">
      <c r="A61" s="20" t="s">
        <v>306</v>
      </c>
      <c r="B61" s="16" t="s">
        <v>262</v>
      </c>
      <c r="C61" s="16">
        <v>10</v>
      </c>
      <c r="D61" s="16" t="s">
        <v>68</v>
      </c>
      <c r="E61" s="23"/>
      <c r="F61" s="23"/>
      <c r="G61" s="23"/>
      <c r="H61" s="42"/>
      <c r="I61" s="42"/>
      <c r="J61" s="42"/>
      <c r="K61" s="42"/>
      <c r="L61" s="42"/>
      <c r="M61" s="42">
        <v>0</v>
      </c>
      <c r="N61" s="29"/>
    </row>
    <row r="62" spans="1:14">
      <c r="A62" s="20" t="s">
        <v>307</v>
      </c>
      <c r="B62" s="16" t="s">
        <v>264</v>
      </c>
      <c r="C62" s="16">
        <v>1</v>
      </c>
      <c r="D62" s="16" t="s">
        <v>68</v>
      </c>
      <c r="E62" s="23"/>
      <c r="F62" s="23"/>
      <c r="G62" s="23">
        <v>0.26</v>
      </c>
      <c r="H62" s="42">
        <v>59</v>
      </c>
      <c r="I62" s="42">
        <v>10</v>
      </c>
      <c r="J62" s="42"/>
      <c r="K62" s="42"/>
      <c r="L62" s="42">
        <v>30</v>
      </c>
      <c r="M62" s="42">
        <v>50</v>
      </c>
      <c r="N62" s="29"/>
    </row>
    <row r="63" spans="1:14">
      <c r="A63" s="20" t="s">
        <v>307</v>
      </c>
      <c r="B63" s="16" t="s">
        <v>264</v>
      </c>
      <c r="C63" s="16">
        <v>10</v>
      </c>
      <c r="D63" s="16" t="s">
        <v>68</v>
      </c>
      <c r="E63" s="23"/>
      <c r="F63" s="23"/>
      <c r="G63" s="23">
        <v>0.8</v>
      </c>
      <c r="H63" s="42">
        <v>185</v>
      </c>
      <c r="I63" s="42">
        <v>10</v>
      </c>
      <c r="J63" s="42"/>
      <c r="K63" s="42"/>
      <c r="L63" s="42">
        <v>30</v>
      </c>
      <c r="M63" s="42">
        <v>50</v>
      </c>
      <c r="N63" s="29"/>
    </row>
    <row r="64" spans="1:14">
      <c r="A64" s="20" t="s">
        <v>308</v>
      </c>
      <c r="B64" s="16" t="s">
        <v>266</v>
      </c>
      <c r="C64" s="16">
        <v>1</v>
      </c>
      <c r="D64" s="16" t="s">
        <v>68</v>
      </c>
      <c r="E64" s="23"/>
      <c r="F64" s="23">
        <v>0.23</v>
      </c>
      <c r="G64" s="23"/>
      <c r="H64" s="42"/>
      <c r="I64" s="42"/>
      <c r="J64" s="42"/>
      <c r="K64" s="42"/>
      <c r="L64" s="42"/>
      <c r="M64" s="42">
        <v>30</v>
      </c>
      <c r="N64" s="29">
        <v>5</v>
      </c>
    </row>
    <row r="65" spans="1:14">
      <c r="A65" s="20" t="s">
        <v>308</v>
      </c>
      <c r="B65" s="16" t="s">
        <v>266</v>
      </c>
      <c r="C65" s="16">
        <v>10</v>
      </c>
      <c r="D65" s="16" t="s">
        <v>68</v>
      </c>
      <c r="E65" s="23"/>
      <c r="F65" s="23">
        <v>0.77</v>
      </c>
      <c r="G65" s="23"/>
      <c r="H65" s="42"/>
      <c r="I65" s="42"/>
      <c r="J65" s="42"/>
      <c r="K65" s="42"/>
      <c r="L65" s="42"/>
      <c r="M65" s="42">
        <v>30</v>
      </c>
      <c r="N65" s="29">
        <v>5</v>
      </c>
    </row>
    <row r="66" spans="1:14">
      <c r="A66" s="20" t="s">
        <v>309</v>
      </c>
      <c r="B66" s="16" t="s">
        <v>267</v>
      </c>
      <c r="C66" s="16">
        <v>1</v>
      </c>
      <c r="D66" s="16" t="s">
        <v>68</v>
      </c>
      <c r="E66" s="23">
        <v>4.76</v>
      </c>
      <c r="F66" s="23"/>
      <c r="G66" s="23"/>
      <c r="H66" s="42"/>
      <c r="I66" s="42"/>
      <c r="J66" s="42"/>
      <c r="K66" s="42"/>
      <c r="L66" s="42"/>
      <c r="M66" s="42">
        <v>15</v>
      </c>
      <c r="N66" s="29"/>
    </row>
    <row r="67" spans="1:14">
      <c r="A67" s="20" t="s">
        <v>309</v>
      </c>
      <c r="B67" s="16" t="s">
        <v>267</v>
      </c>
      <c r="C67" s="16">
        <v>10</v>
      </c>
      <c r="D67" s="16" t="s">
        <v>68</v>
      </c>
      <c r="E67" s="23">
        <v>14.39</v>
      </c>
      <c r="F67" s="23"/>
      <c r="G67" s="23"/>
      <c r="H67" s="42"/>
      <c r="I67" s="42"/>
      <c r="J67" s="42"/>
      <c r="K67" s="42"/>
      <c r="L67" s="42"/>
      <c r="M67" s="42">
        <v>15</v>
      </c>
      <c r="N67" s="29"/>
    </row>
    <row r="68" spans="1:14">
      <c r="A68" s="20" t="s">
        <v>310</v>
      </c>
      <c r="B68" s="16" t="s">
        <v>267</v>
      </c>
      <c r="C68" s="16">
        <v>1</v>
      </c>
      <c r="D68" s="16" t="s">
        <v>68</v>
      </c>
      <c r="E68" s="23">
        <v>7.02</v>
      </c>
      <c r="F68" s="23"/>
      <c r="G68" s="23"/>
      <c r="H68" s="42"/>
      <c r="I68" s="42">
        <v>10</v>
      </c>
      <c r="J68" s="42"/>
      <c r="K68" s="42">
        <v>12</v>
      </c>
      <c r="L68" s="42"/>
      <c r="M68" s="42">
        <v>35</v>
      </c>
      <c r="N68" s="29"/>
    </row>
    <row r="69" spans="1:14">
      <c r="A69" s="20" t="s">
        <v>310</v>
      </c>
      <c r="B69" s="16" t="s">
        <v>267</v>
      </c>
      <c r="C69" s="16">
        <v>10</v>
      </c>
      <c r="D69" s="16" t="s">
        <v>68</v>
      </c>
      <c r="E69" s="23">
        <v>21.15</v>
      </c>
      <c r="F69" s="23"/>
      <c r="G69" s="23"/>
      <c r="H69" s="42"/>
      <c r="I69" s="42">
        <v>10</v>
      </c>
      <c r="J69" s="42"/>
      <c r="K69" s="42">
        <v>12</v>
      </c>
      <c r="L69" s="42"/>
      <c r="M69" s="42">
        <v>35</v>
      </c>
      <c r="N69" s="29"/>
    </row>
    <row r="70" spans="1:14">
      <c r="A70" s="20" t="s">
        <v>311</v>
      </c>
      <c r="B70" s="16" t="s">
        <v>268</v>
      </c>
      <c r="C70" s="16">
        <v>1</v>
      </c>
      <c r="D70" s="16" t="s">
        <v>68</v>
      </c>
      <c r="E70" s="23">
        <v>11.32</v>
      </c>
      <c r="F70" s="23"/>
      <c r="G70" s="23"/>
      <c r="H70" s="42"/>
      <c r="I70" s="42">
        <v>10</v>
      </c>
      <c r="J70" s="42"/>
      <c r="K70" s="42"/>
      <c r="L70" s="42"/>
      <c r="M70" s="42">
        <v>12</v>
      </c>
      <c r="N70" s="29"/>
    </row>
    <row r="71" spans="1:14">
      <c r="A71" s="20" t="s">
        <v>311</v>
      </c>
      <c r="B71" s="16" t="s">
        <v>268</v>
      </c>
      <c r="C71" s="16">
        <v>10</v>
      </c>
      <c r="D71" s="16" t="s">
        <v>68</v>
      </c>
      <c r="E71" s="23">
        <v>34</v>
      </c>
      <c r="F71" s="23"/>
      <c r="G71" s="23"/>
      <c r="H71" s="42"/>
      <c r="I71" s="42">
        <v>10</v>
      </c>
      <c r="J71" s="42"/>
      <c r="K71" s="42"/>
      <c r="L71" s="42"/>
      <c r="M71" s="42">
        <v>12</v>
      </c>
      <c r="N71" s="29"/>
    </row>
    <row r="72" spans="1:14">
      <c r="A72" s="20" t="s">
        <v>312</v>
      </c>
      <c r="B72" s="16" t="s">
        <v>268</v>
      </c>
      <c r="C72" s="16">
        <v>1</v>
      </c>
      <c r="D72" s="16" t="s">
        <v>68</v>
      </c>
      <c r="E72" s="23">
        <v>33.96</v>
      </c>
      <c r="F72" s="23"/>
      <c r="G72" s="23"/>
      <c r="H72" s="42"/>
      <c r="I72" s="42"/>
      <c r="J72" s="42">
        <v>6</v>
      </c>
      <c r="K72" s="42"/>
      <c r="L72" s="42"/>
      <c r="M72" s="42"/>
      <c r="N72" s="29"/>
    </row>
    <row r="73" spans="1:14">
      <c r="A73" s="20" t="s">
        <v>312</v>
      </c>
      <c r="B73" s="16" t="s">
        <v>268</v>
      </c>
      <c r="C73" s="16">
        <v>10</v>
      </c>
      <c r="D73" s="16" t="s">
        <v>68</v>
      </c>
      <c r="E73" s="23">
        <v>102</v>
      </c>
      <c r="F73" s="23"/>
      <c r="G73" s="23"/>
      <c r="H73" s="42"/>
      <c r="I73" s="42"/>
      <c r="J73" s="42">
        <v>6</v>
      </c>
      <c r="K73" s="42"/>
      <c r="L73" s="42"/>
      <c r="M73" s="42"/>
      <c r="N73" s="29"/>
    </row>
    <row r="74" spans="1:14">
      <c r="A74" s="20" t="s">
        <v>313</v>
      </c>
      <c r="B74" s="16" t="s">
        <v>268</v>
      </c>
      <c r="C74" s="16">
        <v>1</v>
      </c>
      <c r="D74" s="16" t="s">
        <v>68</v>
      </c>
      <c r="E74" s="23">
        <v>41.63</v>
      </c>
      <c r="F74" s="23"/>
      <c r="G74" s="23"/>
      <c r="H74" s="42"/>
      <c r="I74" s="42">
        <v>10</v>
      </c>
      <c r="J74" s="42"/>
      <c r="K74" s="42"/>
      <c r="L74" s="42"/>
      <c r="M74" s="42">
        <v>12</v>
      </c>
      <c r="N74" s="29"/>
    </row>
    <row r="75" spans="1:14">
      <c r="A75" s="20" t="s">
        <v>313</v>
      </c>
      <c r="B75" s="16" t="s">
        <v>268</v>
      </c>
      <c r="C75" s="16">
        <v>10</v>
      </c>
      <c r="D75" s="16" t="s">
        <v>68</v>
      </c>
      <c r="E75" s="23">
        <v>125.03</v>
      </c>
      <c r="F75" s="23"/>
      <c r="G75" s="23"/>
      <c r="H75" s="42"/>
      <c r="I75" s="42">
        <v>10</v>
      </c>
      <c r="J75" s="42"/>
      <c r="K75" s="42"/>
      <c r="L75" s="42"/>
      <c r="M75" s="42">
        <v>12</v>
      </c>
      <c r="N75" s="29"/>
    </row>
    <row r="76" spans="1:14">
      <c r="A76" s="20" t="s">
        <v>314</v>
      </c>
      <c r="B76" s="16" t="s">
        <v>269</v>
      </c>
      <c r="C76" s="16">
        <v>1</v>
      </c>
      <c r="D76" s="16" t="s">
        <v>68</v>
      </c>
      <c r="E76" s="23">
        <v>6.67</v>
      </c>
      <c r="F76" s="23"/>
      <c r="G76" s="23"/>
      <c r="H76" s="42"/>
      <c r="I76" s="42">
        <v>6</v>
      </c>
      <c r="J76" s="42"/>
      <c r="K76" s="42"/>
      <c r="L76" s="42"/>
      <c r="M76" s="42">
        <v>15</v>
      </c>
      <c r="N76" s="29"/>
    </row>
    <row r="77" spans="1:14">
      <c r="A77" s="20" t="s">
        <v>314</v>
      </c>
      <c r="B77" s="16" t="s">
        <v>269</v>
      </c>
      <c r="C77" s="16">
        <v>10</v>
      </c>
      <c r="D77" s="16" t="s">
        <v>68</v>
      </c>
      <c r="E77" s="23">
        <v>19.99</v>
      </c>
      <c r="F77" s="23"/>
      <c r="G77" s="23"/>
      <c r="H77" s="42"/>
      <c r="I77" s="42">
        <v>6</v>
      </c>
      <c r="J77" s="42"/>
      <c r="K77" s="42"/>
      <c r="L77" s="42"/>
      <c r="M77" s="42">
        <v>15</v>
      </c>
      <c r="N77" s="29"/>
    </row>
    <row r="78" spans="1:14">
      <c r="A78" s="20" t="s">
        <v>315</v>
      </c>
      <c r="B78" s="16" t="s">
        <v>271</v>
      </c>
      <c r="C78" s="16">
        <v>1</v>
      </c>
      <c r="D78" s="16" t="s">
        <v>68</v>
      </c>
      <c r="E78" s="23">
        <v>3.47</v>
      </c>
      <c r="F78" s="23"/>
      <c r="G78" s="23"/>
      <c r="H78" s="42"/>
      <c r="I78" s="42">
        <v>3</v>
      </c>
      <c r="J78" s="42"/>
      <c r="K78" s="42"/>
      <c r="L78" s="42"/>
      <c r="M78" s="42">
        <v>20</v>
      </c>
      <c r="N78" s="29"/>
    </row>
    <row r="79" spans="1:14">
      <c r="A79" s="20" t="s">
        <v>315</v>
      </c>
      <c r="B79" s="16" t="s">
        <v>271</v>
      </c>
      <c r="C79" s="16">
        <v>10</v>
      </c>
      <c r="D79" s="16" t="s">
        <v>68</v>
      </c>
      <c r="E79" s="23">
        <v>10.4</v>
      </c>
      <c r="F79" s="23"/>
      <c r="G79" s="23"/>
      <c r="H79" s="42"/>
      <c r="I79" s="42">
        <v>3</v>
      </c>
      <c r="J79" s="42"/>
      <c r="K79" s="42"/>
      <c r="L79" s="42"/>
      <c r="M79" s="42">
        <v>20</v>
      </c>
      <c r="N79" s="29"/>
    </row>
    <row r="80" spans="1:14">
      <c r="A80" s="33" t="s">
        <v>316</v>
      </c>
      <c r="B80" s="31" t="s">
        <v>273</v>
      </c>
      <c r="C80" s="16">
        <v>1</v>
      </c>
      <c r="D80" s="16" t="s">
        <v>68</v>
      </c>
      <c r="E80" s="35">
        <v>19.35</v>
      </c>
      <c r="F80" s="35"/>
      <c r="G80" s="35"/>
      <c r="H80" s="63"/>
      <c r="I80" s="63">
        <v>0</v>
      </c>
      <c r="J80" s="63"/>
      <c r="K80" s="63">
        <v>0</v>
      </c>
      <c r="L80" s="63"/>
      <c r="M80" s="63">
        <v>10</v>
      </c>
      <c r="N80" s="40">
        <v>30</v>
      </c>
    </row>
    <row r="81" spans="1:14">
      <c r="A81" s="33" t="s">
        <v>316</v>
      </c>
      <c r="B81" s="31" t="s">
        <v>273</v>
      </c>
      <c r="C81" s="16">
        <v>10</v>
      </c>
      <c r="D81" s="16" t="s">
        <v>68</v>
      </c>
      <c r="E81" s="35">
        <v>57.96</v>
      </c>
      <c r="F81" s="35"/>
      <c r="G81" s="35"/>
      <c r="H81" s="63"/>
      <c r="I81" s="63">
        <v>0</v>
      </c>
      <c r="J81" s="63"/>
      <c r="K81" s="63">
        <v>0</v>
      </c>
      <c r="L81" s="63"/>
      <c r="M81" s="63">
        <v>10</v>
      </c>
      <c r="N81" s="40">
        <v>30</v>
      </c>
    </row>
    <row r="82" spans="1:14">
      <c r="A82" s="33" t="s">
        <v>317</v>
      </c>
      <c r="B82" s="31" t="s">
        <v>273</v>
      </c>
      <c r="C82" s="16">
        <v>1</v>
      </c>
      <c r="D82" s="16" t="s">
        <v>68</v>
      </c>
      <c r="E82" s="35">
        <v>2.49</v>
      </c>
      <c r="F82" s="35"/>
      <c r="G82" s="35"/>
      <c r="H82" s="63"/>
      <c r="I82" s="63">
        <v>6</v>
      </c>
      <c r="J82" s="63"/>
      <c r="K82" s="63">
        <v>5</v>
      </c>
      <c r="L82" s="63"/>
      <c r="M82" s="63">
        <v>20</v>
      </c>
      <c r="N82" s="40"/>
    </row>
    <row r="83" spans="1:14">
      <c r="A83" s="33" t="s">
        <v>317</v>
      </c>
      <c r="B83" s="31" t="s">
        <v>273</v>
      </c>
      <c r="C83" s="16">
        <v>10</v>
      </c>
      <c r="D83" s="16" t="s">
        <v>68</v>
      </c>
      <c r="E83" s="35">
        <v>7.53</v>
      </c>
      <c r="F83" s="35"/>
      <c r="G83" s="35"/>
      <c r="H83" s="63"/>
      <c r="I83" s="63">
        <v>6</v>
      </c>
      <c r="J83" s="63"/>
      <c r="K83" s="63">
        <v>5</v>
      </c>
      <c r="L83" s="63"/>
      <c r="M83" s="63">
        <v>20</v>
      </c>
      <c r="N83" s="40"/>
    </row>
    <row r="84" spans="1:14">
      <c r="A84" s="33" t="s">
        <v>318</v>
      </c>
      <c r="B84" s="31" t="s">
        <v>275</v>
      </c>
      <c r="C84" s="16">
        <v>1</v>
      </c>
      <c r="D84" s="16" t="s">
        <v>68</v>
      </c>
      <c r="E84" s="35">
        <v>8.13</v>
      </c>
      <c r="F84" s="35"/>
      <c r="G84" s="35"/>
      <c r="H84" s="63"/>
      <c r="I84" s="63">
        <v>10</v>
      </c>
      <c r="J84" s="63"/>
      <c r="K84" s="63">
        <v>10</v>
      </c>
      <c r="L84" s="63"/>
      <c r="M84" s="63">
        <v>35</v>
      </c>
      <c r="N84" s="40"/>
    </row>
    <row r="85" spans="1:14">
      <c r="A85" s="33" t="s">
        <v>318</v>
      </c>
      <c r="B85" s="31" t="s">
        <v>275</v>
      </c>
      <c r="C85" s="16">
        <v>10</v>
      </c>
      <c r="D85" s="16" t="s">
        <v>68</v>
      </c>
      <c r="E85" s="35">
        <v>8.13</v>
      </c>
      <c r="F85" s="35"/>
      <c r="G85" s="35"/>
      <c r="H85" s="63"/>
      <c r="I85" s="63">
        <v>10</v>
      </c>
      <c r="J85" s="63"/>
      <c r="K85" s="63">
        <v>10</v>
      </c>
      <c r="L85" s="63"/>
      <c r="M85" s="63">
        <v>35</v>
      </c>
      <c r="N85" s="40"/>
    </row>
    <row r="86" spans="1:14">
      <c r="A86" s="33" t="s">
        <v>319</v>
      </c>
      <c r="B86" s="31" t="s">
        <v>275</v>
      </c>
      <c r="C86" s="16">
        <v>1</v>
      </c>
      <c r="D86" s="16" t="s">
        <v>68</v>
      </c>
      <c r="E86" s="35">
        <v>2.74</v>
      </c>
      <c r="F86" s="35"/>
      <c r="G86" s="35"/>
      <c r="H86" s="63"/>
      <c r="I86" s="63">
        <v>6</v>
      </c>
      <c r="J86" s="63"/>
      <c r="K86" s="63">
        <v>12</v>
      </c>
      <c r="L86" s="63"/>
      <c r="M86" s="63">
        <v>75</v>
      </c>
      <c r="N86" s="40"/>
    </row>
    <row r="87" spans="1:14">
      <c r="A87" s="33" t="s">
        <v>319</v>
      </c>
      <c r="B87" s="31" t="s">
        <v>275</v>
      </c>
      <c r="C87" s="16">
        <v>10</v>
      </c>
      <c r="D87" s="16" t="s">
        <v>68</v>
      </c>
      <c r="E87" s="35">
        <v>16.84</v>
      </c>
      <c r="F87" s="35"/>
      <c r="G87" s="35"/>
      <c r="H87" s="63"/>
      <c r="I87" s="63">
        <v>6</v>
      </c>
      <c r="J87" s="63"/>
      <c r="K87" s="63">
        <v>12</v>
      </c>
      <c r="L87" s="63"/>
      <c r="M87" s="63">
        <v>75</v>
      </c>
      <c r="N87" s="40"/>
    </row>
    <row r="88" spans="1:14">
      <c r="A88" s="33" t="s">
        <v>320</v>
      </c>
      <c r="B88" s="31" t="s">
        <v>274</v>
      </c>
      <c r="C88" s="16">
        <v>1</v>
      </c>
      <c r="D88" s="16" t="s">
        <v>68</v>
      </c>
      <c r="E88" s="35">
        <v>4.97</v>
      </c>
      <c r="F88" s="35"/>
      <c r="G88" s="35"/>
      <c r="H88" s="63"/>
      <c r="I88" s="63">
        <v>6</v>
      </c>
      <c r="J88" s="63"/>
      <c r="K88" s="63"/>
      <c r="L88" s="63"/>
      <c r="M88" s="63">
        <v>15</v>
      </c>
      <c r="N88" s="40"/>
    </row>
    <row r="89" spans="1:14">
      <c r="A89" s="33" t="s">
        <v>320</v>
      </c>
      <c r="B89" s="31" t="s">
        <v>274</v>
      </c>
      <c r="C89" s="16">
        <v>10</v>
      </c>
      <c r="D89" s="16" t="s">
        <v>68</v>
      </c>
      <c r="E89" s="35">
        <v>14.78</v>
      </c>
      <c r="F89" s="35"/>
      <c r="G89" s="35"/>
      <c r="H89" s="63"/>
      <c r="I89" s="63">
        <v>6</v>
      </c>
      <c r="J89" s="63"/>
      <c r="K89" s="63"/>
      <c r="L89" s="63"/>
      <c r="M89" s="63">
        <v>15</v>
      </c>
      <c r="N89" s="40"/>
    </row>
    <row r="90" spans="1:14">
      <c r="A90" s="33" t="s">
        <v>321</v>
      </c>
      <c r="B90" s="31" t="s">
        <v>274</v>
      </c>
      <c r="C90" s="16">
        <v>1</v>
      </c>
      <c r="D90" s="16" t="s">
        <v>68</v>
      </c>
      <c r="E90" s="35">
        <v>7.04</v>
      </c>
      <c r="F90" s="35"/>
      <c r="G90" s="35"/>
      <c r="H90" s="63"/>
      <c r="I90" s="63">
        <v>6</v>
      </c>
      <c r="J90" s="63"/>
      <c r="K90" s="63"/>
      <c r="L90" s="63"/>
      <c r="M90" s="63">
        <v>15</v>
      </c>
      <c r="N90" s="40"/>
    </row>
    <row r="91" spans="1:14">
      <c r="A91" s="33" t="s">
        <v>321</v>
      </c>
      <c r="B91" s="31" t="s">
        <v>274</v>
      </c>
      <c r="C91" s="16">
        <v>10</v>
      </c>
      <c r="D91" s="16" t="s">
        <v>68</v>
      </c>
      <c r="E91" s="35">
        <v>21.17</v>
      </c>
      <c r="F91" s="35"/>
      <c r="G91" s="35"/>
      <c r="H91" s="63"/>
      <c r="I91" s="63">
        <v>6</v>
      </c>
      <c r="J91" s="63"/>
      <c r="K91" s="63"/>
      <c r="L91" s="63"/>
      <c r="M91" s="63">
        <v>15</v>
      </c>
      <c r="N91" s="40"/>
    </row>
    <row r="92" spans="1:14">
      <c r="A92" s="33" t="s">
        <v>322</v>
      </c>
      <c r="B92" s="31" t="s">
        <v>274</v>
      </c>
      <c r="C92" s="16">
        <v>1</v>
      </c>
      <c r="D92" s="16" t="s">
        <v>68</v>
      </c>
      <c r="E92" s="35">
        <v>7.17</v>
      </c>
      <c r="F92" s="35"/>
      <c r="G92" s="35"/>
      <c r="H92" s="63"/>
      <c r="I92" s="63">
        <v>10</v>
      </c>
      <c r="J92" s="63"/>
      <c r="K92" s="63"/>
      <c r="L92" s="63"/>
      <c r="M92" s="63">
        <v>20</v>
      </c>
      <c r="N92" s="40"/>
    </row>
    <row r="93" spans="1:14">
      <c r="A93" s="33" t="s">
        <v>322</v>
      </c>
      <c r="B93" s="31" t="s">
        <v>274</v>
      </c>
      <c r="C93" s="16">
        <v>10</v>
      </c>
      <c r="D93" s="16" t="s">
        <v>68</v>
      </c>
      <c r="E93" s="35">
        <v>21.57</v>
      </c>
      <c r="F93" s="35"/>
      <c r="G93" s="35"/>
      <c r="H93" s="63"/>
      <c r="I93" s="63">
        <v>10</v>
      </c>
      <c r="J93" s="63"/>
      <c r="K93" s="63"/>
      <c r="L93" s="63"/>
      <c r="M93" s="63">
        <v>20</v>
      </c>
      <c r="N93" s="40"/>
    </row>
    <row r="94" spans="1:14">
      <c r="A94" s="20" t="s">
        <v>323</v>
      </c>
      <c r="B94" s="31" t="s">
        <v>274</v>
      </c>
      <c r="C94" s="16">
        <v>1</v>
      </c>
      <c r="D94" s="16" t="s">
        <v>68</v>
      </c>
      <c r="E94" s="23">
        <v>23.07</v>
      </c>
      <c r="F94" s="23"/>
      <c r="G94" s="23"/>
      <c r="H94" s="42"/>
      <c r="I94" s="42">
        <v>12</v>
      </c>
      <c r="J94" s="42"/>
      <c r="K94" s="42"/>
      <c r="L94" s="42"/>
      <c r="M94" s="42">
        <v>30</v>
      </c>
      <c r="N94" s="29"/>
    </row>
    <row r="95" spans="1:14">
      <c r="A95" s="20" t="s">
        <v>323</v>
      </c>
      <c r="B95" s="31" t="s">
        <v>274</v>
      </c>
      <c r="C95" s="16">
        <v>10</v>
      </c>
      <c r="D95" s="16" t="s">
        <v>68</v>
      </c>
      <c r="E95" s="23">
        <v>69.15</v>
      </c>
      <c r="F95" s="23"/>
      <c r="G95" s="23"/>
      <c r="H95" s="42"/>
      <c r="I95" s="42">
        <v>12</v>
      </c>
      <c r="J95" s="42"/>
      <c r="K95" s="42"/>
      <c r="L95" s="42"/>
      <c r="M95" s="42">
        <v>30</v>
      </c>
      <c r="N95" s="29"/>
    </row>
    <row r="96" spans="1:14">
      <c r="A96" s="20" t="s">
        <v>324</v>
      </c>
      <c r="B96" s="31" t="s">
        <v>274</v>
      </c>
      <c r="C96" s="16">
        <v>1</v>
      </c>
      <c r="D96" s="16" t="s">
        <v>68</v>
      </c>
      <c r="E96" s="23">
        <v>34.61</v>
      </c>
      <c r="F96" s="23"/>
      <c r="G96" s="23"/>
      <c r="H96" s="42"/>
      <c r="I96" s="42">
        <v>10</v>
      </c>
      <c r="J96" s="42"/>
      <c r="K96" s="42"/>
      <c r="L96" s="42"/>
      <c r="M96" s="42">
        <v>40</v>
      </c>
      <c r="N96" s="29"/>
    </row>
    <row r="97" spans="1:14">
      <c r="A97" s="20" t="s">
        <v>324</v>
      </c>
      <c r="B97" s="31" t="s">
        <v>274</v>
      </c>
      <c r="C97" s="16">
        <v>10</v>
      </c>
      <c r="D97" s="16" t="s">
        <v>68</v>
      </c>
      <c r="E97" s="23">
        <v>81.64</v>
      </c>
      <c r="F97" s="23"/>
      <c r="G97" s="23"/>
      <c r="H97" s="42"/>
      <c r="I97" s="42">
        <v>10</v>
      </c>
      <c r="J97" s="42"/>
      <c r="K97" s="42"/>
      <c r="L97" s="42"/>
      <c r="M97" s="42">
        <v>40</v>
      </c>
      <c r="N97" s="29"/>
    </row>
    <row r="98" spans="1:14">
      <c r="A98" s="20" t="s">
        <v>325</v>
      </c>
      <c r="B98" s="31" t="s">
        <v>274</v>
      </c>
      <c r="C98" s="16">
        <v>1</v>
      </c>
      <c r="D98" s="16" t="s">
        <v>68</v>
      </c>
      <c r="E98" s="23">
        <v>9</v>
      </c>
      <c r="F98" s="23"/>
      <c r="G98" s="23"/>
      <c r="H98" s="42"/>
      <c r="I98" s="42">
        <v>6</v>
      </c>
      <c r="J98" s="42"/>
      <c r="K98" s="42"/>
      <c r="L98" s="42"/>
      <c r="M98" s="42">
        <v>40</v>
      </c>
      <c r="N98" s="29"/>
    </row>
    <row r="99" spans="1:14">
      <c r="A99" s="20" t="s">
        <v>325</v>
      </c>
      <c r="B99" s="31" t="s">
        <v>274</v>
      </c>
      <c r="C99" s="16">
        <v>10</v>
      </c>
      <c r="D99" s="16" t="s">
        <v>68</v>
      </c>
      <c r="E99" s="23">
        <v>26.91</v>
      </c>
      <c r="F99" s="23"/>
      <c r="G99" s="23"/>
      <c r="H99" s="42"/>
      <c r="I99" s="42">
        <v>6</v>
      </c>
      <c r="J99" s="42"/>
      <c r="K99" s="42"/>
      <c r="L99" s="42"/>
      <c r="M99" s="42">
        <v>40</v>
      </c>
      <c r="N99" s="29"/>
    </row>
    <row r="100" spans="1:14">
      <c r="A100" s="20" t="s">
        <v>326</v>
      </c>
      <c r="B100" s="31" t="s">
        <v>274</v>
      </c>
      <c r="C100" s="16">
        <v>1</v>
      </c>
      <c r="D100" s="16" t="s">
        <v>68</v>
      </c>
      <c r="E100" s="23">
        <v>11.54</v>
      </c>
      <c r="F100" s="23"/>
      <c r="G100" s="23"/>
      <c r="H100" s="42"/>
      <c r="I100" s="42">
        <v>6</v>
      </c>
      <c r="J100" s="42"/>
      <c r="K100" s="42"/>
      <c r="L100" s="42"/>
      <c r="M100" s="42">
        <v>25</v>
      </c>
      <c r="N100" s="29"/>
    </row>
    <row r="101" spans="1:14">
      <c r="A101" s="20" t="s">
        <v>326</v>
      </c>
      <c r="B101" s="31" t="s">
        <v>274</v>
      </c>
      <c r="C101" s="16">
        <v>10</v>
      </c>
      <c r="D101" s="16" t="s">
        <v>68</v>
      </c>
      <c r="E101" s="23">
        <v>34.58</v>
      </c>
      <c r="F101" s="23"/>
      <c r="G101" s="23"/>
      <c r="H101" s="42"/>
      <c r="I101" s="42">
        <v>6</v>
      </c>
      <c r="J101" s="42"/>
      <c r="K101" s="42"/>
      <c r="L101" s="42"/>
      <c r="M101" s="42">
        <v>25</v>
      </c>
      <c r="N101" s="29"/>
    </row>
  </sheetData>
  <sheetProtection formatCells="0" insertHyperlinks="0" autoFilter="0"/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B67"/>
  <sheetViews>
    <sheetView workbookViewId="0">
      <selection activeCell="N30" sqref="N30"/>
    </sheetView>
  </sheetViews>
  <sheetFormatPr defaultColWidth="9" defaultRowHeight="14.25"/>
  <cols>
    <col min="1" max="1" width="17.5" customWidth="1"/>
    <col min="2" max="6" width="8.125" customWidth="1"/>
    <col min="7" max="7" width="25.5" customWidth="1"/>
  </cols>
  <sheetData>
    <row r="1" spans="1:54">
      <c r="A1" s="6" t="s">
        <v>46</v>
      </c>
      <c r="B1" s="6" t="s">
        <v>327</v>
      </c>
      <c r="C1" s="6" t="s">
        <v>328</v>
      </c>
      <c r="D1" s="6" t="s">
        <v>329</v>
      </c>
      <c r="E1" s="6" t="s">
        <v>330</v>
      </c>
      <c r="F1" s="6" t="s">
        <v>331</v>
      </c>
      <c r="G1" s="6" t="s">
        <v>92</v>
      </c>
      <c r="H1" s="6" t="s">
        <v>58</v>
      </c>
      <c r="I1" s="6" t="s">
        <v>59</v>
      </c>
      <c r="J1" s="6" t="s">
        <v>84</v>
      </c>
      <c r="K1" s="6" t="s">
        <v>60</v>
      </c>
      <c r="L1" s="6" t="s">
        <v>85</v>
      </c>
      <c r="M1" s="14" t="s">
        <v>61</v>
      </c>
      <c r="N1" s="14" t="s">
        <v>62</v>
      </c>
      <c r="O1" s="14" t="s">
        <v>63</v>
      </c>
      <c r="P1" s="14" t="s">
        <v>64</v>
      </c>
      <c r="Q1" s="6" t="s">
        <v>65</v>
      </c>
      <c r="R1" s="6" t="s">
        <v>66</v>
      </c>
      <c r="S1" s="7" t="s">
        <v>67</v>
      </c>
      <c r="T1" s="7" t="s">
        <v>70</v>
      </c>
      <c r="U1" s="7" t="s">
        <v>94</v>
      </c>
      <c r="V1" s="7" t="s">
        <v>68</v>
      </c>
      <c r="W1" s="7" t="s">
        <v>119</v>
      </c>
      <c r="X1" s="7" t="s">
        <v>147</v>
      </c>
      <c r="Y1" s="7" t="s">
        <v>148</v>
      </c>
      <c r="Z1" s="7" t="s">
        <v>150</v>
      </c>
      <c r="AA1" s="7" t="s">
        <v>172</v>
      </c>
      <c r="AB1" s="7" t="s">
        <v>151</v>
      </c>
      <c r="AC1" s="7" t="s">
        <v>332</v>
      </c>
      <c r="AD1" s="7" t="s">
        <v>333</v>
      </c>
      <c r="AE1" s="7" t="s">
        <v>69</v>
      </c>
      <c r="AF1" s="7" t="s">
        <v>118</v>
      </c>
      <c r="AG1" s="7" t="s">
        <v>71</v>
      </c>
      <c r="AH1" s="60" t="s">
        <v>334</v>
      </c>
      <c r="AI1" s="60" t="s">
        <v>116</v>
      </c>
      <c r="AJ1" s="60" t="s">
        <v>130</v>
      </c>
      <c r="AK1" s="7" t="s">
        <v>132</v>
      </c>
      <c r="AL1" s="7" t="s">
        <v>335</v>
      </c>
      <c r="AM1" s="7" t="s">
        <v>336</v>
      </c>
      <c r="AN1" s="7" t="s">
        <v>337</v>
      </c>
      <c r="AO1" s="7" t="s">
        <v>338</v>
      </c>
      <c r="AP1" s="7" t="s">
        <v>339</v>
      </c>
      <c r="AQ1" s="7" t="s">
        <v>340</v>
      </c>
      <c r="AR1" s="7" t="s">
        <v>341</v>
      </c>
      <c r="AS1" s="7" t="s">
        <v>342</v>
      </c>
      <c r="AT1" s="7" t="s">
        <v>343</v>
      </c>
      <c r="AU1" s="7" t="s">
        <v>344</v>
      </c>
      <c r="AV1" s="7" t="s">
        <v>345</v>
      </c>
      <c r="AW1" s="7" t="s">
        <v>346</v>
      </c>
      <c r="AX1" s="7" t="s">
        <v>347</v>
      </c>
      <c r="AY1" s="60" t="s">
        <v>348</v>
      </c>
      <c r="AZ1" s="61" t="s">
        <v>349</v>
      </c>
      <c r="BA1" s="61" t="s">
        <v>350</v>
      </c>
      <c r="BB1" s="62" t="s">
        <v>351</v>
      </c>
    </row>
    <row r="2" spans="1:54">
      <c r="A2" t="s">
        <v>352</v>
      </c>
      <c r="G2" t="s">
        <v>353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4"/>
      <c r="X2" s="2"/>
      <c r="Y2" s="2"/>
      <c r="Z2" s="2"/>
      <c r="AA2" s="2"/>
      <c r="AB2" s="2"/>
      <c r="AC2" s="2"/>
      <c r="AD2" s="2"/>
      <c r="AE2" s="2"/>
      <c r="AF2" s="2"/>
      <c r="AG2" s="2"/>
      <c r="AH2" s="4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>
      <c r="A3" t="s">
        <v>354</v>
      </c>
      <c r="B3">
        <v>1</v>
      </c>
      <c r="C3">
        <v>1</v>
      </c>
      <c r="D3">
        <v>1</v>
      </c>
      <c r="E3">
        <v>1</v>
      </c>
      <c r="F3">
        <v>2</v>
      </c>
      <c r="G3" t="s">
        <v>355</v>
      </c>
      <c r="H3" s="2">
        <v>0.5</v>
      </c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4"/>
      <c r="X3" s="2"/>
      <c r="Y3" s="2"/>
      <c r="Z3" s="2"/>
      <c r="AA3" s="2"/>
      <c r="AB3" s="2"/>
      <c r="AC3" s="2"/>
      <c r="AD3" s="2"/>
      <c r="AE3" s="2"/>
      <c r="AF3" s="2"/>
      <c r="AG3" s="2"/>
      <c r="AH3" s="4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>
      <c r="A4" t="s">
        <v>356</v>
      </c>
      <c r="B4">
        <v>1</v>
      </c>
      <c r="C4">
        <v>1</v>
      </c>
      <c r="D4">
        <v>1</v>
      </c>
      <c r="E4">
        <v>1</v>
      </c>
      <c r="F4">
        <v>2</v>
      </c>
      <c r="G4" t="s">
        <v>357</v>
      </c>
      <c r="H4" s="2">
        <v>0.4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4"/>
      <c r="X4" s="2"/>
      <c r="Y4" s="2"/>
      <c r="Z4" s="2"/>
      <c r="AA4" s="2"/>
      <c r="AB4" s="2"/>
      <c r="AC4" s="2"/>
      <c r="AD4" s="2"/>
      <c r="AE4" s="2"/>
      <c r="AF4" s="2"/>
      <c r="AG4" s="2"/>
      <c r="AH4" s="4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>
      <c r="A5" t="s">
        <v>358</v>
      </c>
      <c r="G5" t="s">
        <v>359</v>
      </c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>
        <v>0.9</v>
      </c>
      <c r="T5" s="2"/>
      <c r="U5" s="2"/>
      <c r="V5" s="2"/>
      <c r="W5" s="4"/>
      <c r="X5" s="2"/>
      <c r="Y5" s="2"/>
      <c r="Z5" s="2"/>
      <c r="AA5" s="2"/>
      <c r="AB5" s="2"/>
      <c r="AC5" s="2"/>
      <c r="AD5" s="2"/>
      <c r="AE5" s="2"/>
      <c r="AF5" s="2"/>
      <c r="AG5" s="2"/>
      <c r="AH5" s="4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</row>
    <row r="6" spans="1:54">
      <c r="A6" t="s">
        <v>360</v>
      </c>
      <c r="G6" t="s">
        <v>361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>
        <v>0.1</v>
      </c>
      <c r="V6" s="2"/>
      <c r="W6" s="4"/>
      <c r="X6" s="2"/>
      <c r="Y6" s="2"/>
      <c r="Z6" s="2"/>
      <c r="AA6" s="2"/>
      <c r="AB6" s="2"/>
      <c r="AC6" s="2"/>
      <c r="AD6" s="2"/>
      <c r="AE6" s="2"/>
      <c r="AF6" s="2"/>
      <c r="AG6" s="2"/>
      <c r="AH6" s="4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</row>
    <row r="7" spans="1:54">
      <c r="A7" t="s">
        <v>362</v>
      </c>
      <c r="G7" t="s">
        <v>363</v>
      </c>
      <c r="H7" s="2"/>
      <c r="I7" s="2"/>
      <c r="J7" s="2"/>
      <c r="K7" s="2"/>
      <c r="L7" s="2"/>
      <c r="M7" s="2">
        <v>0.9</v>
      </c>
      <c r="N7" s="2"/>
      <c r="O7" s="2"/>
      <c r="P7" s="2">
        <v>0.45</v>
      </c>
      <c r="Q7" s="2"/>
      <c r="R7" s="2"/>
      <c r="S7" s="2"/>
      <c r="T7" s="2"/>
      <c r="U7" s="2"/>
      <c r="V7" s="2"/>
      <c r="W7" s="4"/>
      <c r="X7" s="2"/>
      <c r="Y7" s="2"/>
      <c r="Z7" s="2"/>
      <c r="AA7" s="2"/>
      <c r="AB7" s="2"/>
      <c r="AC7" s="2"/>
      <c r="AD7" s="2"/>
      <c r="AE7" s="2"/>
      <c r="AF7" s="2"/>
      <c r="AG7" s="2"/>
      <c r="AH7" s="4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</row>
    <row r="8" spans="1:54">
      <c r="A8" t="s">
        <v>364</v>
      </c>
      <c r="G8" t="s">
        <v>365</v>
      </c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4"/>
      <c r="X8" s="2">
        <f>24%*伤害计算!C34</f>
        <v>1.2</v>
      </c>
      <c r="Y8" s="2"/>
      <c r="Z8" s="2"/>
      <c r="AA8" s="2"/>
      <c r="AB8" s="2"/>
      <c r="AC8" s="2"/>
      <c r="AD8" s="2"/>
      <c r="AE8" s="2"/>
      <c r="AF8" s="2"/>
      <c r="AG8" s="2"/>
      <c r="AH8" s="4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</row>
    <row r="9" spans="1:54">
      <c r="A9" t="s">
        <v>107</v>
      </c>
      <c r="G9" t="s">
        <v>366</v>
      </c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>
        <v>0.45</v>
      </c>
      <c r="T9" s="2"/>
      <c r="U9" s="2"/>
      <c r="V9" s="2"/>
      <c r="W9" s="4"/>
      <c r="X9" s="2"/>
      <c r="Y9" s="2"/>
      <c r="Z9" s="2"/>
      <c r="AA9" s="2"/>
      <c r="AB9" s="2">
        <v>0.6</v>
      </c>
      <c r="AC9" s="2"/>
      <c r="AD9" s="2"/>
      <c r="AE9" s="2">
        <v>0.24</v>
      </c>
      <c r="AF9" s="4">
        <v>4</v>
      </c>
      <c r="AG9" s="2"/>
      <c r="AH9" s="4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</row>
    <row r="10" spans="1:54">
      <c r="A10" t="s">
        <v>367</v>
      </c>
      <c r="G10" t="s">
        <v>368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>
        <v>0.08</v>
      </c>
      <c r="W10" s="4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4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</row>
    <row r="11" spans="1:54">
      <c r="A11" t="s">
        <v>369</v>
      </c>
      <c r="B11">
        <f>52/16</f>
        <v>3.25</v>
      </c>
      <c r="C11">
        <f>1/((BUFF表[[#This Row],[a]]-1)/9)</f>
        <v>4</v>
      </c>
      <c r="D11">
        <v>10</v>
      </c>
      <c r="E11">
        <v>1</v>
      </c>
      <c r="F11">
        <v>12</v>
      </c>
      <c r="G11" t="s">
        <v>370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>
        <v>0.52</v>
      </c>
      <c r="W11" s="4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4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</row>
    <row r="12" spans="1:54">
      <c r="A12" t="s">
        <v>371</v>
      </c>
      <c r="G12" t="s">
        <v>372</v>
      </c>
      <c r="H12" s="2">
        <v>0.85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4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4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</row>
    <row r="13" spans="1:54">
      <c r="A13" t="s">
        <v>259</v>
      </c>
      <c r="G13" s="59" t="s">
        <v>373</v>
      </c>
      <c r="H13" s="2"/>
      <c r="I13" s="2"/>
      <c r="J13" s="2"/>
      <c r="K13" s="2"/>
      <c r="L13" s="2"/>
      <c r="M13" s="2"/>
      <c r="N13" s="2"/>
      <c r="O13" s="2"/>
      <c r="P13" s="2"/>
      <c r="Q13" s="2"/>
      <c r="R13" s="2">
        <v>0.05</v>
      </c>
      <c r="S13" s="2"/>
      <c r="T13" s="2"/>
      <c r="U13" s="2"/>
      <c r="V13" s="2"/>
      <c r="W13" s="4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4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</row>
    <row r="14" spans="1:54">
      <c r="A14" t="s">
        <v>93</v>
      </c>
      <c r="B14">
        <f>89/26</f>
        <v>3.42307692307692</v>
      </c>
      <c r="C14">
        <f>1/((BUFF表[[#This Row],[a]]-1)/9)</f>
        <v>3.71428571428571</v>
      </c>
      <c r="D14">
        <v>10</v>
      </c>
      <c r="E14">
        <v>1</v>
      </c>
      <c r="F14">
        <v>12</v>
      </c>
      <c r="G14" s="59" t="s">
        <v>374</v>
      </c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>
        <v>0.89</v>
      </c>
      <c r="T14" s="2"/>
      <c r="U14" s="2"/>
      <c r="V14" s="2"/>
      <c r="W14" s="4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4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</row>
    <row r="15" spans="1:54">
      <c r="A15" t="s">
        <v>375</v>
      </c>
      <c r="G15" s="59" t="s">
        <v>376</v>
      </c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4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4">
        <v>300</v>
      </c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</row>
    <row r="16" spans="1:54">
      <c r="A16" t="s">
        <v>377</v>
      </c>
      <c r="G16" t="s">
        <v>378</v>
      </c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4"/>
      <c r="X16" s="2">
        <v>0.4</v>
      </c>
      <c r="Y16" s="2"/>
      <c r="Z16" s="2"/>
      <c r="AA16" s="2"/>
      <c r="AB16" s="2"/>
      <c r="AC16" s="2"/>
      <c r="AD16" s="2"/>
      <c r="AE16" s="2"/>
      <c r="AF16" s="2"/>
      <c r="AG16" s="2"/>
      <c r="AH16" s="4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</row>
    <row r="17" spans="1:54">
      <c r="A17" t="s">
        <v>379</v>
      </c>
      <c r="B17">
        <f>21/6.6</f>
        <v>3.18181818181818</v>
      </c>
      <c r="C17">
        <f>1/((BUFF表[[#This Row],[a]]-1)/9)</f>
        <v>4.125</v>
      </c>
      <c r="D17">
        <v>10</v>
      </c>
      <c r="E17">
        <v>1</v>
      </c>
      <c r="F17">
        <v>12</v>
      </c>
      <c r="G17" t="s">
        <v>380</v>
      </c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4"/>
      <c r="X17" s="2"/>
      <c r="Y17" s="2"/>
      <c r="Z17" s="2"/>
      <c r="AA17" s="2"/>
      <c r="AB17" s="2">
        <v>0.21</v>
      </c>
      <c r="AC17" s="2"/>
      <c r="AD17" s="2"/>
      <c r="AE17" s="2"/>
      <c r="AF17" s="2"/>
      <c r="AG17" s="2"/>
      <c r="AH17" s="4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</row>
    <row r="18" spans="1:54">
      <c r="A18" t="s">
        <v>381</v>
      </c>
      <c r="G18" t="s">
        <v>382</v>
      </c>
      <c r="H18" s="2"/>
      <c r="I18" s="2"/>
      <c r="J18" s="2"/>
      <c r="K18" s="2">
        <v>0.4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4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4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</row>
    <row r="19" spans="1:54">
      <c r="A19" t="s">
        <v>383</v>
      </c>
      <c r="G19" t="s">
        <v>384</v>
      </c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>
        <v>0.08</v>
      </c>
      <c r="V19" s="2"/>
      <c r="W19" s="4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4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</row>
    <row r="20" spans="1:54">
      <c r="A20" t="s">
        <v>385</v>
      </c>
      <c r="B20">
        <f>51/15</f>
        <v>3.4</v>
      </c>
      <c r="C20">
        <f>1/((BUFF表[[#This Row],[a]]-1)/9)</f>
        <v>3.75</v>
      </c>
      <c r="D20">
        <v>10</v>
      </c>
      <c r="E20">
        <v>1</v>
      </c>
      <c r="F20">
        <v>12</v>
      </c>
      <c r="G20" t="s">
        <v>386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>
        <v>0.51</v>
      </c>
      <c r="V20" s="2"/>
      <c r="W20" s="4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4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</row>
    <row r="21" spans="1:54">
      <c r="A21" t="s">
        <v>387</v>
      </c>
      <c r="G21" t="s">
        <v>388</v>
      </c>
      <c r="H21" s="2"/>
      <c r="I21" s="2"/>
      <c r="J21" s="2"/>
      <c r="K21" s="2"/>
      <c r="L21" s="2"/>
      <c r="M21" s="2"/>
      <c r="N21" s="2"/>
      <c r="O21" s="2">
        <v>0.24</v>
      </c>
      <c r="P21" s="2"/>
      <c r="Q21" s="2"/>
      <c r="R21" s="2"/>
      <c r="S21" s="2"/>
      <c r="T21" s="2"/>
      <c r="U21" s="2"/>
      <c r="V21" s="2"/>
      <c r="W21" s="4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4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</row>
    <row r="22" spans="1:54">
      <c r="A22" t="s">
        <v>389</v>
      </c>
      <c r="G22" t="s">
        <v>390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>
        <v>0.75</v>
      </c>
      <c r="W22" s="4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4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</row>
    <row r="23" spans="1:54">
      <c r="A23" t="s">
        <v>391</v>
      </c>
      <c r="G23" t="s">
        <v>392</v>
      </c>
      <c r="H23" s="2"/>
      <c r="I23" s="2"/>
      <c r="J23" s="2"/>
      <c r="K23" s="2"/>
      <c r="L23" s="2"/>
      <c r="M23" s="2">
        <f>MAX(0,伤害计算!$C$15-1)</f>
        <v>0.33594</v>
      </c>
      <c r="N23" s="2"/>
      <c r="O23" s="2"/>
      <c r="P23" s="2"/>
      <c r="Q23" s="2"/>
      <c r="R23" s="2"/>
      <c r="S23" s="2"/>
      <c r="T23" s="2"/>
      <c r="U23" s="2"/>
      <c r="V23" s="2"/>
      <c r="W23" s="4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4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</row>
    <row r="24" spans="1:54">
      <c r="A24" t="s">
        <v>393</v>
      </c>
      <c r="G24" t="s">
        <v>394</v>
      </c>
      <c r="H24" s="2">
        <v>1.5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4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4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</row>
    <row r="25" spans="1:54">
      <c r="A25" t="s">
        <v>395</v>
      </c>
      <c r="G25" t="s">
        <v>396</v>
      </c>
      <c r="H25" s="2">
        <f>-伤害计算!H3</f>
        <v>-2</v>
      </c>
      <c r="I25" s="2"/>
      <c r="J25" s="2"/>
      <c r="K25" s="2"/>
      <c r="L25" s="2"/>
      <c r="M25" s="2"/>
      <c r="N25" s="2"/>
      <c r="O25" s="2"/>
      <c r="P25" s="2"/>
      <c r="Q25" s="2">
        <v>-10</v>
      </c>
      <c r="R25" s="2">
        <v>-10</v>
      </c>
      <c r="S25" s="2"/>
      <c r="T25" s="2"/>
      <c r="U25" s="2"/>
      <c r="V25" s="2"/>
      <c r="W25" s="4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4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</row>
    <row r="26" spans="1:54">
      <c r="A26" t="s">
        <v>397</v>
      </c>
      <c r="G26" t="s">
        <v>398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>
        <v>1.1</v>
      </c>
      <c r="W26" s="4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4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</row>
    <row r="27" spans="1:54">
      <c r="A27" t="s">
        <v>399</v>
      </c>
      <c r="G27" t="s">
        <v>400</v>
      </c>
      <c r="H27" s="2"/>
      <c r="I27" s="2"/>
      <c r="J27" s="2"/>
      <c r="K27" s="2"/>
      <c r="L27" s="2"/>
      <c r="M27" s="2"/>
      <c r="N27" s="2"/>
      <c r="O27" s="2"/>
      <c r="P27" s="2"/>
      <c r="Q27" s="2">
        <v>0.9</v>
      </c>
      <c r="R27" s="2"/>
      <c r="S27" s="2"/>
      <c r="T27" s="2"/>
      <c r="U27" s="2"/>
      <c r="V27" s="2"/>
      <c r="W27" s="4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4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</row>
    <row r="28" spans="1:54">
      <c r="A28" t="s">
        <v>96</v>
      </c>
      <c r="B28">
        <f>25/7.9</f>
        <v>3.16455696202532</v>
      </c>
      <c r="C28">
        <f>1/((BUFF表[[#This Row],[a]]-1)/9)</f>
        <v>4.15789473684211</v>
      </c>
      <c r="D28">
        <v>10</v>
      </c>
      <c r="E28">
        <v>1</v>
      </c>
      <c r="F28">
        <v>12</v>
      </c>
      <c r="G28" t="s">
        <v>401</v>
      </c>
      <c r="H28" s="2">
        <v>1</v>
      </c>
      <c r="I28" s="2"/>
      <c r="J28" s="2"/>
      <c r="K28" s="2"/>
      <c r="L28" s="2"/>
      <c r="M28" s="2">
        <v>1</v>
      </c>
      <c r="N28" s="2"/>
      <c r="O28" s="2"/>
      <c r="P28" s="2"/>
      <c r="Q28" s="2"/>
      <c r="R28" s="2">
        <v>0.4</v>
      </c>
      <c r="S28" s="2">
        <v>0.36</v>
      </c>
      <c r="T28" s="2"/>
      <c r="U28" s="2"/>
      <c r="V28" s="2"/>
      <c r="W28" s="4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4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</row>
    <row r="29" spans="1:54">
      <c r="A29" t="s">
        <v>103</v>
      </c>
      <c r="G29" t="s">
        <v>402</v>
      </c>
      <c r="S29" s="2">
        <v>0.35</v>
      </c>
      <c r="T29" s="2"/>
      <c r="W29" s="4"/>
      <c r="AG29" s="2"/>
      <c r="AH29" s="4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</row>
    <row r="30" spans="1:54">
      <c r="A30" t="s">
        <v>403</v>
      </c>
      <c r="G30" t="s">
        <v>404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4"/>
      <c r="X30" s="2"/>
      <c r="Y30" s="2"/>
      <c r="Z30" s="2"/>
      <c r="AA30" s="2"/>
      <c r="AB30" s="2"/>
      <c r="AC30" s="2"/>
      <c r="AD30" s="2"/>
      <c r="AE30" s="2">
        <v>0.5</v>
      </c>
      <c r="AF30" s="2"/>
      <c r="AG30" s="2"/>
      <c r="AH30" s="4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</row>
    <row r="31" spans="1:54">
      <c r="A31" t="s">
        <v>405</v>
      </c>
      <c r="G31" t="s">
        <v>406</v>
      </c>
      <c r="H31" s="2">
        <v>0.35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4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4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</row>
    <row r="32" spans="1:54">
      <c r="A32" t="s">
        <v>407</v>
      </c>
      <c r="G32" t="s">
        <v>408</v>
      </c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4"/>
      <c r="X32" s="2"/>
      <c r="Y32" s="2"/>
      <c r="Z32" s="2"/>
      <c r="AA32" s="2"/>
      <c r="AB32" s="2">
        <v>0.3</v>
      </c>
      <c r="AC32" s="2"/>
      <c r="AD32" s="2"/>
      <c r="AE32" s="2"/>
      <c r="AF32" s="2"/>
      <c r="AG32" s="2"/>
      <c r="AH32" s="4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</row>
    <row r="33" spans="1:54">
      <c r="A33" t="s">
        <v>409</v>
      </c>
      <c r="B33">
        <v>3</v>
      </c>
      <c r="C33">
        <v>1</v>
      </c>
      <c r="D33">
        <v>3</v>
      </c>
      <c r="E33">
        <v>1</v>
      </c>
      <c r="F33">
        <v>3</v>
      </c>
      <c r="G33" t="s">
        <v>410</v>
      </c>
      <c r="H33" s="2">
        <v>0.24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4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4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</row>
    <row r="34" customFormat="1" spans="1:54">
      <c r="A34" t="s">
        <v>411</v>
      </c>
      <c r="B34">
        <v>3</v>
      </c>
      <c r="C34">
        <v>1</v>
      </c>
      <c r="D34">
        <v>3</v>
      </c>
      <c r="E34">
        <v>1</v>
      </c>
      <c r="F34">
        <v>3</v>
      </c>
      <c r="G34" t="s">
        <v>412</v>
      </c>
      <c r="H34" s="2"/>
      <c r="I34" s="2">
        <v>0.24</v>
      </c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4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4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</row>
    <row r="35" customFormat="1" spans="1:54">
      <c r="A35" t="s">
        <v>413</v>
      </c>
      <c r="B35">
        <v>3</v>
      </c>
      <c r="C35">
        <v>1</v>
      </c>
      <c r="D35">
        <v>3</v>
      </c>
      <c r="E35">
        <v>1</v>
      </c>
      <c r="F35">
        <v>3</v>
      </c>
      <c r="G35" t="s">
        <v>414</v>
      </c>
      <c r="H35" s="2"/>
      <c r="I35" s="2"/>
      <c r="J35" s="2"/>
      <c r="K35" s="2">
        <v>0.24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4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4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</row>
    <row r="36" spans="1:54">
      <c r="A36" t="s">
        <v>415</v>
      </c>
      <c r="B36">
        <v>2</v>
      </c>
      <c r="C36">
        <v>3</v>
      </c>
      <c r="D36">
        <v>3</v>
      </c>
      <c r="E36">
        <v>0</v>
      </c>
      <c r="F36">
        <v>3</v>
      </c>
      <c r="G36" t="s">
        <v>416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4"/>
      <c r="X36" s="2"/>
      <c r="Y36" s="2"/>
      <c r="Z36" s="2"/>
      <c r="AA36" s="2"/>
      <c r="AB36" s="2"/>
      <c r="AC36" s="5">
        <v>0.048</v>
      </c>
      <c r="AD36" s="5">
        <v>0.018</v>
      </c>
      <c r="AE36" s="2"/>
      <c r="AF36" s="2"/>
      <c r="AG36" s="2"/>
      <c r="AH36" s="4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</row>
    <row r="37" customFormat="1" spans="1:54">
      <c r="A37" t="s">
        <v>417</v>
      </c>
      <c r="B37">
        <v>2</v>
      </c>
      <c r="C37">
        <v>3</v>
      </c>
      <c r="D37">
        <v>3</v>
      </c>
      <c r="E37">
        <v>0</v>
      </c>
      <c r="F37">
        <v>3</v>
      </c>
      <c r="G37" t="s">
        <v>416</v>
      </c>
      <c r="H37" s="2"/>
      <c r="I37" s="2"/>
      <c r="J37" s="2"/>
      <c r="K37" s="2"/>
      <c r="L37" s="2"/>
      <c r="M37" s="2"/>
      <c r="N37" s="2"/>
      <c r="O37" s="2"/>
      <c r="P37" s="2"/>
      <c r="Q37" s="2">
        <v>0.12</v>
      </c>
      <c r="R37" s="2"/>
      <c r="S37" s="2"/>
      <c r="T37" s="2"/>
      <c r="U37" s="2"/>
      <c r="V37" s="2"/>
      <c r="W37" s="4"/>
      <c r="X37" s="2"/>
      <c r="Y37" s="2"/>
      <c r="Z37" s="2"/>
      <c r="AA37" s="2"/>
      <c r="AB37" s="2"/>
      <c r="AC37" s="5">
        <v>0.048</v>
      </c>
      <c r="AD37" s="5">
        <v>0.018</v>
      </c>
      <c r="AE37" s="2"/>
      <c r="AF37" s="2"/>
      <c r="AG37" s="2"/>
      <c r="AH37" s="4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</row>
    <row r="38" spans="1:54">
      <c r="A38" t="s">
        <v>418</v>
      </c>
      <c r="B38">
        <v>2</v>
      </c>
      <c r="C38">
        <v>3</v>
      </c>
      <c r="D38">
        <v>3</v>
      </c>
      <c r="E38">
        <v>0</v>
      </c>
      <c r="F38">
        <v>3</v>
      </c>
      <c r="G38" t="s">
        <v>419</v>
      </c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4"/>
      <c r="X38" s="2"/>
      <c r="Y38" s="2"/>
      <c r="Z38" s="2"/>
      <c r="AA38" s="2"/>
      <c r="AB38" s="2"/>
      <c r="AC38" s="5">
        <v>0.048</v>
      </c>
      <c r="AD38" s="5">
        <v>0.018</v>
      </c>
      <c r="AE38" s="2"/>
      <c r="AF38" s="2"/>
      <c r="AG38" s="2"/>
      <c r="AH38" s="4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</row>
    <row r="39" customFormat="1" spans="1:54">
      <c r="A39" t="s">
        <v>420</v>
      </c>
      <c r="B39">
        <v>2</v>
      </c>
      <c r="C39">
        <v>3</v>
      </c>
      <c r="D39">
        <v>3</v>
      </c>
      <c r="E39">
        <v>0</v>
      </c>
      <c r="F39">
        <v>3</v>
      </c>
      <c r="G39" t="s">
        <v>419</v>
      </c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>
        <v>0.324</v>
      </c>
      <c r="T39" s="2"/>
      <c r="U39" s="2"/>
      <c r="V39" s="2"/>
      <c r="W39" s="4"/>
      <c r="X39" s="2"/>
      <c r="Y39" s="2"/>
      <c r="Z39" s="2"/>
      <c r="AA39" s="2"/>
      <c r="AB39" s="2"/>
      <c r="AC39" s="5">
        <v>0.048</v>
      </c>
      <c r="AD39" s="5">
        <v>0.018</v>
      </c>
      <c r="AE39" s="2"/>
      <c r="AF39" s="2"/>
      <c r="AG39" s="2"/>
      <c r="AH39" s="4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</row>
    <row r="40" spans="1:54">
      <c r="A40" t="s">
        <v>421</v>
      </c>
      <c r="B40">
        <v>2</v>
      </c>
      <c r="C40">
        <v>3</v>
      </c>
      <c r="D40">
        <v>3</v>
      </c>
      <c r="E40">
        <v>0</v>
      </c>
      <c r="F40">
        <v>3</v>
      </c>
      <c r="G40" t="s">
        <v>422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4"/>
      <c r="X40" s="2"/>
      <c r="Y40" s="2"/>
      <c r="Z40" s="2"/>
      <c r="AA40" s="2"/>
      <c r="AB40" s="2"/>
      <c r="AC40" s="5">
        <v>0.048</v>
      </c>
      <c r="AD40" s="5">
        <v>0.018</v>
      </c>
      <c r="AE40" s="2"/>
      <c r="AF40" s="2"/>
      <c r="AG40" s="2"/>
      <c r="AH40" s="4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</row>
    <row r="41" customFormat="1" spans="1:54">
      <c r="A41" t="s">
        <v>423</v>
      </c>
      <c r="B41">
        <v>2</v>
      </c>
      <c r="C41">
        <v>3</v>
      </c>
      <c r="D41">
        <v>3</v>
      </c>
      <c r="E41">
        <v>0</v>
      </c>
      <c r="F41">
        <v>3</v>
      </c>
      <c r="G41" t="s">
        <v>422</v>
      </c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4"/>
      <c r="X41" s="2"/>
      <c r="Y41" s="2"/>
      <c r="Z41" s="2"/>
      <c r="AA41" s="2">
        <v>0.21</v>
      </c>
      <c r="AB41" s="2"/>
      <c r="AC41" s="5">
        <v>0.048</v>
      </c>
      <c r="AD41" s="5">
        <v>0.018</v>
      </c>
      <c r="AE41" s="2"/>
      <c r="AF41" s="2"/>
      <c r="AG41" s="2"/>
      <c r="AH41" s="4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</row>
    <row r="42" spans="1:54">
      <c r="A42" t="s">
        <v>424</v>
      </c>
      <c r="B42">
        <v>2</v>
      </c>
      <c r="C42">
        <v>3</v>
      </c>
      <c r="D42">
        <v>3</v>
      </c>
      <c r="E42">
        <v>0</v>
      </c>
      <c r="F42">
        <v>3</v>
      </c>
      <c r="G42" t="s">
        <v>425</v>
      </c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4"/>
      <c r="X42" s="2"/>
      <c r="Y42" s="2"/>
      <c r="Z42" s="2"/>
      <c r="AA42" s="2"/>
      <c r="AB42" s="2"/>
      <c r="AC42" s="5">
        <v>0.048</v>
      </c>
      <c r="AD42" s="5">
        <v>0.018</v>
      </c>
      <c r="AE42" s="2"/>
      <c r="AF42" s="2"/>
      <c r="AG42" s="2"/>
      <c r="AH42" s="4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</row>
    <row r="43" customFormat="1" spans="1:54">
      <c r="A43" t="s">
        <v>426</v>
      </c>
      <c r="B43">
        <v>2</v>
      </c>
      <c r="C43">
        <v>3</v>
      </c>
      <c r="D43">
        <v>3</v>
      </c>
      <c r="E43">
        <v>0</v>
      </c>
      <c r="F43">
        <v>3</v>
      </c>
      <c r="G43" t="s">
        <v>425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>
        <v>0.21</v>
      </c>
      <c r="W43" s="4"/>
      <c r="X43" s="2"/>
      <c r="Y43" s="2"/>
      <c r="Z43" s="2"/>
      <c r="AA43" s="2"/>
      <c r="AB43" s="2"/>
      <c r="AC43" s="5">
        <v>0.048</v>
      </c>
      <c r="AD43" s="5">
        <v>0.018</v>
      </c>
      <c r="AE43" s="2"/>
      <c r="AF43" s="2"/>
      <c r="AG43" s="2"/>
      <c r="AH43" s="4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</row>
    <row r="44" spans="1:54">
      <c r="A44" t="s">
        <v>427</v>
      </c>
      <c r="B44">
        <v>2</v>
      </c>
      <c r="C44">
        <v>3</v>
      </c>
      <c r="D44">
        <v>3</v>
      </c>
      <c r="E44">
        <v>0</v>
      </c>
      <c r="F44">
        <v>3</v>
      </c>
      <c r="G44" t="s">
        <v>428</v>
      </c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4"/>
      <c r="X44" s="2"/>
      <c r="Y44" s="2"/>
      <c r="Z44" s="2"/>
      <c r="AA44" s="2"/>
      <c r="AB44" s="2"/>
      <c r="AC44" s="5">
        <v>0.048</v>
      </c>
      <c r="AD44" s="5">
        <v>0.018</v>
      </c>
      <c r="AE44" s="2"/>
      <c r="AF44" s="2"/>
      <c r="AG44" s="2"/>
      <c r="AH44" s="4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</row>
    <row r="45" customFormat="1" spans="1:54">
      <c r="A45" t="s">
        <v>115</v>
      </c>
      <c r="B45">
        <v>2</v>
      </c>
      <c r="C45">
        <v>3</v>
      </c>
      <c r="D45">
        <v>3</v>
      </c>
      <c r="E45">
        <v>0</v>
      </c>
      <c r="F45">
        <v>3</v>
      </c>
      <c r="G45" t="s">
        <v>428</v>
      </c>
      <c r="H45" s="2"/>
      <c r="I45" s="2"/>
      <c r="J45" s="2"/>
      <c r="K45" s="2"/>
      <c r="L45" s="2"/>
      <c r="M45" s="2"/>
      <c r="N45" s="2"/>
      <c r="O45" s="2"/>
      <c r="P45" s="2"/>
      <c r="Q45" s="2"/>
      <c r="R45" s="2">
        <v>0.12</v>
      </c>
      <c r="S45" s="2"/>
      <c r="T45" s="2"/>
      <c r="U45" s="2"/>
      <c r="V45" s="2"/>
      <c r="W45" s="4"/>
      <c r="X45" s="2"/>
      <c r="Y45" s="2"/>
      <c r="Z45" s="2"/>
      <c r="AA45" s="2"/>
      <c r="AB45" s="2"/>
      <c r="AC45" s="5">
        <v>0.048</v>
      </c>
      <c r="AD45" s="5">
        <v>0.018</v>
      </c>
      <c r="AE45" s="2"/>
      <c r="AF45" s="2"/>
      <c r="AG45" s="2"/>
      <c r="AH45" s="4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</row>
    <row r="46" spans="1:54">
      <c r="A46" t="s">
        <v>429</v>
      </c>
      <c r="B46">
        <v>2</v>
      </c>
      <c r="C46">
        <v>3</v>
      </c>
      <c r="D46">
        <v>3</v>
      </c>
      <c r="E46">
        <v>0</v>
      </c>
      <c r="F46">
        <v>3</v>
      </c>
      <c r="G46" t="s">
        <v>430</v>
      </c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4"/>
      <c r="X46" s="2"/>
      <c r="Y46" s="2"/>
      <c r="Z46" s="2"/>
      <c r="AA46" s="2"/>
      <c r="AB46" s="2"/>
      <c r="AC46" s="5">
        <v>0.048</v>
      </c>
      <c r="AD46" s="5">
        <v>0.018</v>
      </c>
      <c r="AE46" s="2"/>
      <c r="AF46" s="2"/>
      <c r="AG46" s="2"/>
      <c r="AH46" s="4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</row>
    <row r="47" spans="1:54">
      <c r="A47" t="s">
        <v>431</v>
      </c>
      <c r="B47">
        <v>2</v>
      </c>
      <c r="C47">
        <v>3</v>
      </c>
      <c r="D47">
        <v>3</v>
      </c>
      <c r="E47">
        <v>0</v>
      </c>
      <c r="F47">
        <v>3</v>
      </c>
      <c r="G47" t="s">
        <v>430</v>
      </c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4"/>
      <c r="X47" s="2"/>
      <c r="Y47" s="2"/>
      <c r="Z47" s="2"/>
      <c r="AA47" s="2"/>
      <c r="AB47" s="2">
        <v>0.063</v>
      </c>
      <c r="AC47" s="5">
        <v>0.048</v>
      </c>
      <c r="AD47" s="5">
        <v>0.018</v>
      </c>
      <c r="AE47" s="2"/>
      <c r="AF47" s="2"/>
      <c r="AG47" s="2"/>
      <c r="AH47" s="4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</row>
    <row r="48" customFormat="1" spans="1:54">
      <c r="A48" t="s">
        <v>113</v>
      </c>
      <c r="B48">
        <v>11</v>
      </c>
      <c r="C48">
        <v>1</v>
      </c>
      <c r="D48">
        <v>10</v>
      </c>
      <c r="E48">
        <v>0</v>
      </c>
      <c r="F48">
        <v>10</v>
      </c>
      <c r="G48" t="s">
        <v>432</v>
      </c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4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4"/>
      <c r="AI48" s="2"/>
      <c r="AJ48" s="2"/>
      <c r="AK48" s="2"/>
      <c r="AL48" s="2"/>
      <c r="AM48" s="2"/>
      <c r="AN48" s="2">
        <v>0.44</v>
      </c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</row>
    <row r="49" spans="1:54">
      <c r="A49" t="s">
        <v>95</v>
      </c>
      <c r="B49">
        <v>11</v>
      </c>
      <c r="C49">
        <v>1</v>
      </c>
      <c r="D49">
        <v>10</v>
      </c>
      <c r="E49">
        <v>0</v>
      </c>
      <c r="F49">
        <v>10</v>
      </c>
      <c r="G49" t="s">
        <v>433</v>
      </c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>
        <v>0.2</v>
      </c>
      <c r="T49" s="2"/>
      <c r="U49" s="2"/>
      <c r="V49" s="2"/>
      <c r="W49" s="4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4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</row>
    <row r="50" spans="1:54">
      <c r="A50" t="s">
        <v>117</v>
      </c>
      <c r="B50">
        <v>11</v>
      </c>
      <c r="C50">
        <v>1</v>
      </c>
      <c r="D50">
        <v>10</v>
      </c>
      <c r="E50">
        <v>0</v>
      </c>
      <c r="F50">
        <v>10</v>
      </c>
      <c r="G50" t="s">
        <v>434</v>
      </c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4">
        <v>12</v>
      </c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4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</row>
    <row r="51" spans="1:54">
      <c r="A51" t="s">
        <v>435</v>
      </c>
      <c r="B51">
        <v>11</v>
      </c>
      <c r="C51">
        <v>1</v>
      </c>
      <c r="D51">
        <v>10</v>
      </c>
      <c r="E51">
        <v>0</v>
      </c>
      <c r="F51">
        <v>10</v>
      </c>
      <c r="G51" t="s">
        <v>436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4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4">
        <v>275</v>
      </c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</row>
    <row r="52" spans="1:54">
      <c r="A52" t="s">
        <v>109</v>
      </c>
      <c r="B52">
        <v>11</v>
      </c>
      <c r="C52">
        <v>1</v>
      </c>
      <c r="D52">
        <v>10</v>
      </c>
      <c r="E52">
        <v>0</v>
      </c>
      <c r="F52">
        <v>10</v>
      </c>
      <c r="G52" t="s">
        <v>437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4"/>
      <c r="X52" s="2">
        <v>0.75</v>
      </c>
      <c r="Y52" s="2"/>
      <c r="Z52" s="2"/>
      <c r="AA52" s="2"/>
      <c r="AB52" s="2"/>
      <c r="AC52" s="2"/>
      <c r="AD52" s="2"/>
      <c r="AE52" s="2"/>
      <c r="AF52" s="2"/>
      <c r="AG52" s="2"/>
      <c r="AH52" s="4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</row>
    <row r="53" spans="1:54">
      <c r="A53" t="s">
        <v>111</v>
      </c>
      <c r="B53">
        <v>11</v>
      </c>
      <c r="C53">
        <v>1</v>
      </c>
      <c r="D53">
        <v>10</v>
      </c>
      <c r="E53">
        <v>0</v>
      </c>
      <c r="F53">
        <v>10</v>
      </c>
      <c r="G53" t="s">
        <v>438</v>
      </c>
      <c r="H53" s="2"/>
      <c r="I53" s="2"/>
      <c r="J53" s="2"/>
      <c r="K53" s="2"/>
      <c r="L53" s="2"/>
      <c r="M53" s="2"/>
      <c r="N53" s="2"/>
      <c r="O53" s="2"/>
      <c r="P53" s="2"/>
      <c r="Q53" s="2"/>
      <c r="R53" s="2">
        <v>0.099</v>
      </c>
      <c r="S53" s="2"/>
      <c r="T53" s="2"/>
      <c r="U53" s="2"/>
      <c r="V53" s="2"/>
      <c r="W53" s="4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4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</row>
    <row r="54" spans="1:54">
      <c r="A54" t="s">
        <v>439</v>
      </c>
      <c r="G54" t="s">
        <v>440</v>
      </c>
      <c r="H54" s="2">
        <f>伤害计算!$C$128/伤害计算!$B$7</f>
        <v>0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>
        <f>伤害计算!$C$12-1</f>
        <v>7.01554</v>
      </c>
      <c r="U54" s="2"/>
      <c r="V54" s="2"/>
      <c r="W54" s="4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4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</row>
    <row r="55" customFormat="1" spans="1:54">
      <c r="A55" t="s">
        <v>99</v>
      </c>
      <c r="G55" t="s">
        <v>441</v>
      </c>
      <c r="H55" s="2"/>
      <c r="I55" s="2"/>
      <c r="J55" s="2"/>
      <c r="K55" s="2"/>
      <c r="L55" s="2"/>
      <c r="M55" s="2">
        <v>1</v>
      </c>
      <c r="N55" s="2"/>
      <c r="O55" s="2"/>
      <c r="P55" s="2"/>
      <c r="Q55" s="2"/>
      <c r="R55" s="2"/>
      <c r="S55" s="2"/>
      <c r="T55" s="2"/>
      <c r="U55" s="2">
        <v>0.5</v>
      </c>
      <c r="V55" s="2"/>
      <c r="W55" s="4"/>
      <c r="X55" s="2">
        <v>0.4</v>
      </c>
      <c r="Y55" s="2">
        <v>-0.5</v>
      </c>
      <c r="Z55" s="2"/>
      <c r="AA55" s="2"/>
      <c r="AB55" s="2"/>
      <c r="AC55" s="2"/>
      <c r="AD55" s="2"/>
      <c r="AE55" s="2"/>
      <c r="AF55" s="2"/>
      <c r="AG55" s="2"/>
      <c r="AH55" s="4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</row>
    <row r="56" spans="1:54">
      <c r="A56" t="s">
        <v>442</v>
      </c>
      <c r="G56" t="s">
        <v>443</v>
      </c>
      <c r="H56" s="2">
        <v>0.4</v>
      </c>
      <c r="I56" s="2">
        <v>0.24</v>
      </c>
      <c r="J56" s="2">
        <v>0.24</v>
      </c>
      <c r="K56" s="2">
        <v>0.24</v>
      </c>
      <c r="L56" s="2">
        <v>0.5</v>
      </c>
      <c r="M56" s="2">
        <v>0.342</v>
      </c>
      <c r="N56" s="2">
        <v>0.216</v>
      </c>
      <c r="O56" s="2">
        <v>0.09</v>
      </c>
      <c r="P56" s="2">
        <v>0.216</v>
      </c>
      <c r="Q56" s="2">
        <v>0.108</v>
      </c>
      <c r="R56" s="2">
        <v>0.108</v>
      </c>
      <c r="S56" s="2">
        <v>0.12</v>
      </c>
      <c r="T56" s="2"/>
      <c r="U56" s="2"/>
      <c r="V56" s="2"/>
      <c r="W56" s="4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4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</row>
    <row r="57" spans="1:54">
      <c r="A57" t="s">
        <v>105</v>
      </c>
      <c r="B57">
        <v>2</v>
      </c>
      <c r="C57">
        <v>5</v>
      </c>
      <c r="D57">
        <v>5</v>
      </c>
      <c r="E57">
        <v>0</v>
      </c>
      <c r="F57">
        <v>5</v>
      </c>
      <c r="G57" t="s">
        <v>444</v>
      </c>
      <c r="H57" s="2">
        <v>1.8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4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4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</row>
    <row r="58" spans="1:54">
      <c r="A58" t="s">
        <v>101</v>
      </c>
      <c r="B58">
        <v>2</v>
      </c>
      <c r="C58">
        <v>5</v>
      </c>
      <c r="D58">
        <v>5</v>
      </c>
      <c r="E58">
        <v>0</v>
      </c>
      <c r="F58">
        <v>5</v>
      </c>
      <c r="G58" t="s">
        <v>445</v>
      </c>
      <c r="H58" s="2">
        <v>0.2</v>
      </c>
      <c r="I58" s="2"/>
      <c r="J58" s="2"/>
      <c r="K58" s="2"/>
      <c r="L58" s="2"/>
      <c r="M58" s="2">
        <v>0.15</v>
      </c>
      <c r="N58" s="2">
        <v>0.2</v>
      </c>
      <c r="O58" s="2"/>
      <c r="P58" s="2"/>
      <c r="Q58" s="2"/>
      <c r="R58" s="2"/>
      <c r="S58" s="2"/>
      <c r="T58" s="2"/>
      <c r="U58" s="2"/>
      <c r="V58" s="2"/>
      <c r="W58" s="4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4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</row>
    <row r="59" spans="1:54">
      <c r="A59" t="s">
        <v>446</v>
      </c>
      <c r="B59">
        <v>2</v>
      </c>
      <c r="C59">
        <v>5</v>
      </c>
      <c r="D59">
        <v>5</v>
      </c>
      <c r="E59">
        <v>0</v>
      </c>
      <c r="F59">
        <v>5</v>
      </c>
      <c r="G59" t="s">
        <v>447</v>
      </c>
      <c r="H59" s="2"/>
      <c r="I59" s="2"/>
      <c r="J59" s="2"/>
      <c r="K59" s="2"/>
      <c r="L59" s="2"/>
      <c r="M59" s="2"/>
      <c r="N59" s="2"/>
      <c r="O59" s="2"/>
      <c r="P59" s="2"/>
      <c r="Q59" s="2"/>
      <c r="R59" s="2">
        <v>0.16</v>
      </c>
      <c r="S59" s="2"/>
      <c r="T59" s="2"/>
      <c r="U59" s="2"/>
      <c r="V59" s="2"/>
      <c r="W59" s="4"/>
      <c r="X59" s="2"/>
      <c r="Y59" s="2"/>
      <c r="Z59" s="2">
        <v>0.3</v>
      </c>
      <c r="AA59" s="2"/>
      <c r="AB59" s="2"/>
      <c r="AC59" s="2"/>
      <c r="AD59" s="2"/>
      <c r="AE59" s="2"/>
      <c r="AF59" s="2"/>
      <c r="AG59" s="2"/>
      <c r="AH59" s="4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</row>
    <row r="60" spans="1:54">
      <c r="A60" t="s">
        <v>448</v>
      </c>
      <c r="B60">
        <v>2</v>
      </c>
      <c r="C60">
        <v>5</v>
      </c>
      <c r="D60">
        <v>5</v>
      </c>
      <c r="E60">
        <v>0</v>
      </c>
      <c r="F60">
        <v>5</v>
      </c>
      <c r="G60" t="s">
        <v>449</v>
      </c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>
        <v>0.9</v>
      </c>
      <c r="V60" s="2"/>
      <c r="W60" s="4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4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</row>
    <row r="61" spans="1:54">
      <c r="A61" t="s">
        <v>450</v>
      </c>
      <c r="B61">
        <v>2</v>
      </c>
      <c r="C61">
        <v>5</v>
      </c>
      <c r="D61">
        <v>5</v>
      </c>
      <c r="E61">
        <v>0</v>
      </c>
      <c r="F61">
        <v>5</v>
      </c>
      <c r="G61" t="s">
        <v>451</v>
      </c>
      <c r="H61" s="2"/>
      <c r="I61" s="2"/>
      <c r="J61" s="2"/>
      <c r="K61" s="2"/>
      <c r="L61" s="2"/>
      <c r="M61" s="2"/>
      <c r="N61" s="2"/>
      <c r="O61" s="2">
        <v>0.4</v>
      </c>
      <c r="P61" s="2"/>
      <c r="Q61" s="2"/>
      <c r="R61" s="2"/>
      <c r="S61" s="2"/>
      <c r="T61" s="2"/>
      <c r="U61" s="2"/>
      <c r="V61" s="2"/>
      <c r="W61" s="4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4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</row>
    <row r="62" spans="1:54">
      <c r="A62" t="s">
        <v>452</v>
      </c>
      <c r="B62">
        <v>2</v>
      </c>
      <c r="C62">
        <v>5</v>
      </c>
      <c r="D62">
        <v>5</v>
      </c>
      <c r="E62">
        <v>0</v>
      </c>
      <c r="F62">
        <v>5</v>
      </c>
      <c r="G62" t="s">
        <v>453</v>
      </c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4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4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>
        <v>0.7</v>
      </c>
      <c r="AV62" s="2"/>
      <c r="AW62" s="2"/>
      <c r="AX62" s="2"/>
      <c r="AY62" s="2"/>
      <c r="AZ62" s="2"/>
      <c r="BA62" s="2"/>
      <c r="BB62" s="2"/>
    </row>
    <row r="63" spans="1:54">
      <c r="A63" t="s">
        <v>454</v>
      </c>
      <c r="B63">
        <v>2</v>
      </c>
      <c r="C63">
        <v>5</v>
      </c>
      <c r="D63">
        <v>5</v>
      </c>
      <c r="E63">
        <v>0</v>
      </c>
      <c r="F63">
        <v>5</v>
      </c>
      <c r="G63" t="s">
        <v>455</v>
      </c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4"/>
      <c r="X63" s="2"/>
      <c r="Y63" s="2"/>
      <c r="Z63" s="2">
        <v>0.864</v>
      </c>
      <c r="AA63" s="2"/>
      <c r="AB63" s="2"/>
      <c r="AC63" s="2"/>
      <c r="AD63" s="2"/>
      <c r="AE63" s="2"/>
      <c r="AF63" s="2"/>
      <c r="AG63" s="2"/>
      <c r="AH63" s="4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</row>
    <row r="64" spans="1:54">
      <c r="A64" t="s">
        <v>456</v>
      </c>
      <c r="B64">
        <v>2</v>
      </c>
      <c r="C64">
        <v>5</v>
      </c>
      <c r="D64">
        <v>5</v>
      </c>
      <c r="E64">
        <v>0</v>
      </c>
      <c r="F64">
        <v>5</v>
      </c>
      <c r="G64" t="s">
        <v>457</v>
      </c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4"/>
      <c r="X64" s="2"/>
      <c r="Y64" s="2"/>
      <c r="Z64" s="2">
        <v>1</v>
      </c>
      <c r="AA64" s="2"/>
      <c r="AB64" s="2"/>
      <c r="AC64" s="2"/>
      <c r="AD64" s="2"/>
      <c r="AE64" s="2"/>
      <c r="AF64" s="2"/>
      <c r="AG64" s="2"/>
      <c r="AH64" s="4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</row>
    <row r="65" spans="1:54">
      <c r="A65" t="s">
        <v>458</v>
      </c>
      <c r="B65">
        <v>2</v>
      </c>
      <c r="C65">
        <v>5</v>
      </c>
      <c r="D65">
        <v>5</v>
      </c>
      <c r="E65">
        <v>0</v>
      </c>
      <c r="F65">
        <v>5</v>
      </c>
      <c r="G65" t="s">
        <v>459</v>
      </c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>
        <v>0.9</v>
      </c>
      <c r="V65" s="2"/>
      <c r="W65" s="4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4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</row>
    <row r="66" spans="1:54">
      <c r="A66" t="s">
        <v>460</v>
      </c>
      <c r="G66" t="s">
        <v>461</v>
      </c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4"/>
      <c r="X66" s="2"/>
      <c r="Y66" s="2"/>
      <c r="Z66" s="2"/>
      <c r="AA66" s="2"/>
      <c r="AB66" s="2"/>
      <c r="AC66" s="2"/>
      <c r="AD66" s="2"/>
      <c r="AE66" s="2"/>
      <c r="AF66" s="2"/>
      <c r="AG66" s="2">
        <v>0.6</v>
      </c>
      <c r="AH66" s="4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</row>
    <row r="67" spans="1:54">
      <c r="A67" t="s">
        <v>462</v>
      </c>
      <c r="G67" t="s">
        <v>463</v>
      </c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>
        <v>-0.15</v>
      </c>
      <c r="U67" s="2"/>
      <c r="V67" s="2"/>
      <c r="W67" s="4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4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W112"/>
  <sheetViews>
    <sheetView topLeftCell="A34" workbookViewId="0">
      <selection activeCell="AC36" sqref="AC36"/>
    </sheetView>
  </sheetViews>
  <sheetFormatPr defaultColWidth="9" defaultRowHeight="14.25"/>
  <cols>
    <col min="1" max="1" width="23.625" customWidth="1"/>
    <col min="17" max="19" width="10.25" customWidth="1"/>
    <col min="24" max="24" width="10.25" customWidth="1"/>
    <col min="26" max="26" width="15.875" customWidth="1"/>
    <col min="27" max="30" width="10.25" customWidth="1"/>
    <col min="31" max="34" width="12.125" customWidth="1"/>
    <col min="35" max="36" width="10.25" customWidth="1"/>
    <col min="39" max="51" width="10.25" customWidth="1"/>
  </cols>
  <sheetData>
    <row r="1" spans="1:49">
      <c r="A1" t="s">
        <v>46</v>
      </c>
      <c r="B1" t="s">
        <v>47</v>
      </c>
      <c r="C1" t="s">
        <v>18</v>
      </c>
      <c r="D1" t="s">
        <v>464</v>
      </c>
      <c r="E1" t="s">
        <v>58</v>
      </c>
      <c r="F1" t="s">
        <v>59</v>
      </c>
      <c r="G1" t="s">
        <v>84</v>
      </c>
      <c r="H1" t="s">
        <v>60</v>
      </c>
      <c r="I1" t="s">
        <v>85</v>
      </c>
      <c r="J1" t="s">
        <v>61</v>
      </c>
      <c r="K1" t="s">
        <v>62</v>
      </c>
      <c r="L1" t="s">
        <v>63</v>
      </c>
      <c r="M1" t="s">
        <v>64</v>
      </c>
      <c r="N1" t="s">
        <v>65</v>
      </c>
      <c r="O1" t="s">
        <v>66</v>
      </c>
      <c r="P1" t="s">
        <v>67</v>
      </c>
      <c r="Q1" t="s">
        <v>70</v>
      </c>
      <c r="R1" t="s">
        <v>94</v>
      </c>
      <c r="S1" t="s">
        <v>68</v>
      </c>
      <c r="T1" t="s">
        <v>147</v>
      </c>
      <c r="U1" t="s">
        <v>148</v>
      </c>
      <c r="V1" t="s">
        <v>150</v>
      </c>
      <c r="W1" t="s">
        <v>172</v>
      </c>
      <c r="X1" t="s">
        <v>151</v>
      </c>
      <c r="Y1" t="s">
        <v>332</v>
      </c>
      <c r="Z1" t="s">
        <v>465</v>
      </c>
      <c r="AA1" t="s">
        <v>69</v>
      </c>
      <c r="AB1" t="s">
        <v>71</v>
      </c>
      <c r="AC1" t="s">
        <v>334</v>
      </c>
      <c r="AD1" t="s">
        <v>116</v>
      </c>
      <c r="AE1" t="s">
        <v>130</v>
      </c>
      <c r="AF1" t="s">
        <v>132</v>
      </c>
      <c r="AG1" t="s">
        <v>335</v>
      </c>
      <c r="AH1" t="s">
        <v>336</v>
      </c>
      <c r="AI1" t="s">
        <v>337</v>
      </c>
      <c r="AJ1" t="s">
        <v>338</v>
      </c>
      <c r="AK1" t="s">
        <v>339</v>
      </c>
      <c r="AL1" t="s">
        <v>340</v>
      </c>
      <c r="AM1" t="s">
        <v>341</v>
      </c>
      <c r="AN1" t="s">
        <v>342</v>
      </c>
      <c r="AO1" t="s">
        <v>343</v>
      </c>
      <c r="AP1" t="s">
        <v>344</v>
      </c>
      <c r="AQ1" t="s">
        <v>345</v>
      </c>
      <c r="AR1" t="s">
        <v>346</v>
      </c>
      <c r="AS1" t="s">
        <v>347</v>
      </c>
      <c r="AT1" t="s">
        <v>348</v>
      </c>
      <c r="AU1" t="s">
        <v>349</v>
      </c>
      <c r="AV1" t="s">
        <v>350</v>
      </c>
      <c r="AW1" t="s">
        <v>351</v>
      </c>
    </row>
    <row r="2" spans="1:41">
      <c r="A2" t="s">
        <v>466</v>
      </c>
      <c r="B2" t="s">
        <v>467</v>
      </c>
      <c r="C2">
        <v>1</v>
      </c>
      <c r="AJ2" s="2">
        <v>0.2</v>
      </c>
      <c r="AN2" s="2"/>
      <c r="AO2" s="2"/>
    </row>
    <row r="3" spans="1:39">
      <c r="A3" t="s">
        <v>468</v>
      </c>
      <c r="B3" t="s">
        <v>467</v>
      </c>
      <c r="C3">
        <v>1</v>
      </c>
      <c r="AM3" s="2">
        <v>0.9</v>
      </c>
    </row>
    <row r="4" spans="1:42">
      <c r="A4" t="s">
        <v>469</v>
      </c>
      <c r="B4" t="s">
        <v>467</v>
      </c>
      <c r="C4">
        <v>1</v>
      </c>
      <c r="D4" t="s">
        <v>470</v>
      </c>
      <c r="AP4" s="2">
        <v>0.1</v>
      </c>
    </row>
    <row r="5" spans="1:4">
      <c r="A5" t="s">
        <v>471</v>
      </c>
      <c r="B5" t="s">
        <v>467</v>
      </c>
      <c r="C5">
        <v>1</v>
      </c>
      <c r="D5" t="s">
        <v>472</v>
      </c>
    </row>
    <row r="6" spans="1:4">
      <c r="A6" t="s">
        <v>473</v>
      </c>
      <c r="B6" t="s">
        <v>467</v>
      </c>
      <c r="C6">
        <v>1</v>
      </c>
      <c r="D6" t="s">
        <v>474</v>
      </c>
    </row>
    <row r="7" spans="1:4">
      <c r="A7" t="s">
        <v>475</v>
      </c>
      <c r="B7" t="s">
        <v>467</v>
      </c>
      <c r="C7">
        <v>1</v>
      </c>
      <c r="D7" t="s">
        <v>476</v>
      </c>
    </row>
    <row r="8" spans="1:37">
      <c r="A8" t="s">
        <v>477</v>
      </c>
      <c r="B8" t="s">
        <v>467</v>
      </c>
      <c r="C8">
        <v>2</v>
      </c>
      <c r="AK8" s="2">
        <v>0.6</v>
      </c>
    </row>
    <row r="9" spans="1:38">
      <c r="A9" t="s">
        <v>478</v>
      </c>
      <c r="B9" t="s">
        <v>467</v>
      </c>
      <c r="C9">
        <v>2</v>
      </c>
      <c r="AL9" s="2">
        <v>0.6</v>
      </c>
    </row>
    <row r="10" spans="1:4">
      <c r="A10" t="s">
        <v>479</v>
      </c>
      <c r="B10" t="s">
        <v>467</v>
      </c>
      <c r="C10">
        <v>2</v>
      </c>
      <c r="D10" t="s">
        <v>480</v>
      </c>
    </row>
    <row r="11" spans="1:4">
      <c r="A11" t="s">
        <v>481</v>
      </c>
      <c r="B11" t="s">
        <v>467</v>
      </c>
      <c r="C11">
        <v>2</v>
      </c>
      <c r="D11" t="s">
        <v>482</v>
      </c>
    </row>
    <row r="12" spans="1:4">
      <c r="A12" t="s">
        <v>483</v>
      </c>
      <c r="B12" t="s">
        <v>467</v>
      </c>
      <c r="C12">
        <v>2</v>
      </c>
      <c r="D12" t="s">
        <v>484</v>
      </c>
    </row>
    <row r="13" spans="1:41">
      <c r="A13" t="s">
        <v>485</v>
      </c>
      <c r="B13" t="s">
        <v>467</v>
      </c>
      <c r="C13">
        <v>3</v>
      </c>
      <c r="AN13" s="2">
        <v>0.4</v>
      </c>
      <c r="AO13">
        <v>1.5</v>
      </c>
    </row>
    <row r="14" spans="1:4">
      <c r="A14" t="s">
        <v>486</v>
      </c>
      <c r="B14" t="s">
        <v>467</v>
      </c>
      <c r="C14">
        <v>3</v>
      </c>
      <c r="D14" t="s">
        <v>487</v>
      </c>
    </row>
    <row r="15" spans="1:4">
      <c r="A15" t="s">
        <v>488</v>
      </c>
      <c r="B15" t="s">
        <v>467</v>
      </c>
      <c r="C15">
        <v>3</v>
      </c>
      <c r="D15" t="s">
        <v>489</v>
      </c>
    </row>
    <row r="16" spans="1:4">
      <c r="A16" t="s">
        <v>490</v>
      </c>
      <c r="B16" t="s">
        <v>467</v>
      </c>
      <c r="C16">
        <v>3</v>
      </c>
      <c r="D16" t="s">
        <v>491</v>
      </c>
    </row>
    <row r="17" spans="1:44">
      <c r="A17" t="s">
        <v>492</v>
      </c>
      <c r="B17" t="s">
        <v>493</v>
      </c>
      <c r="C17">
        <v>1</v>
      </c>
      <c r="AQ17" s="2">
        <v>0.2</v>
      </c>
      <c r="AR17" s="2"/>
    </row>
    <row r="18" spans="1:47">
      <c r="A18" t="s">
        <v>494</v>
      </c>
      <c r="B18" t="s">
        <v>493</v>
      </c>
      <c r="C18">
        <v>1</v>
      </c>
      <c r="AU18" s="2">
        <v>0.9</v>
      </c>
    </row>
    <row r="19" spans="1:4">
      <c r="A19" t="s">
        <v>495</v>
      </c>
      <c r="B19" t="s">
        <v>493</v>
      </c>
      <c r="C19">
        <v>1</v>
      </c>
      <c r="D19" t="s">
        <v>496</v>
      </c>
    </row>
    <row r="20" spans="1:4">
      <c r="A20" t="s">
        <v>497</v>
      </c>
      <c r="B20" t="s">
        <v>493</v>
      </c>
      <c r="C20">
        <v>1</v>
      </c>
      <c r="D20" t="s">
        <v>498</v>
      </c>
    </row>
    <row r="21" spans="1:4">
      <c r="A21" t="s">
        <v>499</v>
      </c>
      <c r="B21" t="s">
        <v>493</v>
      </c>
      <c r="C21">
        <v>1</v>
      </c>
      <c r="D21" t="s">
        <v>500</v>
      </c>
    </row>
    <row r="22" spans="1:4">
      <c r="A22" t="s">
        <v>501</v>
      </c>
      <c r="B22" t="s">
        <v>493</v>
      </c>
      <c r="C22">
        <v>1</v>
      </c>
      <c r="D22" t="s">
        <v>502</v>
      </c>
    </row>
    <row r="23" spans="1:45">
      <c r="A23" t="s">
        <v>503</v>
      </c>
      <c r="B23" t="s">
        <v>493</v>
      </c>
      <c r="C23">
        <v>2</v>
      </c>
      <c r="AS23" s="2">
        <v>0.5</v>
      </c>
    </row>
    <row r="24" spans="1:46">
      <c r="A24" t="s">
        <v>504</v>
      </c>
      <c r="B24" t="s">
        <v>493</v>
      </c>
      <c r="C24">
        <v>2</v>
      </c>
      <c r="AT24" s="2">
        <v>0.5</v>
      </c>
    </row>
    <row r="25" spans="1:3">
      <c r="A25" t="s">
        <v>505</v>
      </c>
      <c r="B25" t="s">
        <v>493</v>
      </c>
      <c r="C25">
        <v>2</v>
      </c>
    </row>
    <row r="26" spans="1:4">
      <c r="A26" t="s">
        <v>506</v>
      </c>
      <c r="B26" t="s">
        <v>493</v>
      </c>
      <c r="C26">
        <v>2</v>
      </c>
      <c r="D26" t="s">
        <v>507</v>
      </c>
    </row>
    <row r="27" spans="1:4">
      <c r="A27" t="s">
        <v>508</v>
      </c>
      <c r="B27" t="s">
        <v>493</v>
      </c>
      <c r="C27">
        <v>2</v>
      </c>
      <c r="D27" t="s">
        <v>509</v>
      </c>
    </row>
    <row r="28" spans="1:48">
      <c r="A28" t="s">
        <v>510</v>
      </c>
      <c r="B28" t="s">
        <v>493</v>
      </c>
      <c r="C28">
        <v>3</v>
      </c>
      <c r="AV28" s="2">
        <v>0.6</v>
      </c>
    </row>
    <row r="29" spans="1:44">
      <c r="A29" t="s">
        <v>511</v>
      </c>
      <c r="B29" t="s">
        <v>493</v>
      </c>
      <c r="C29">
        <v>3</v>
      </c>
      <c r="AR29" s="2">
        <v>0.6</v>
      </c>
    </row>
    <row r="30" spans="1:4">
      <c r="A30" t="s">
        <v>512</v>
      </c>
      <c r="B30" t="s">
        <v>493</v>
      </c>
      <c r="C30">
        <v>3</v>
      </c>
      <c r="D30" t="s">
        <v>513</v>
      </c>
    </row>
    <row r="31" spans="1:4">
      <c r="A31" t="s">
        <v>514</v>
      </c>
      <c r="B31" t="s">
        <v>493</v>
      </c>
      <c r="C31">
        <v>3</v>
      </c>
      <c r="D31" t="s">
        <v>515</v>
      </c>
    </row>
    <row r="32" spans="1:13">
      <c r="A32" t="s">
        <v>516</v>
      </c>
      <c r="B32" t="s">
        <v>517</v>
      </c>
      <c r="C32">
        <v>1</v>
      </c>
      <c r="M32" s="2">
        <v>0.3</v>
      </c>
    </row>
    <row r="33" spans="1:11">
      <c r="A33" t="s">
        <v>518</v>
      </c>
      <c r="B33" t="s">
        <v>517</v>
      </c>
      <c r="C33">
        <v>1</v>
      </c>
      <c r="K33" s="2">
        <v>0.3</v>
      </c>
    </row>
    <row r="34" spans="1:12">
      <c r="A34" t="s">
        <v>519</v>
      </c>
      <c r="B34" t="s">
        <v>517</v>
      </c>
      <c r="C34">
        <v>1</v>
      </c>
      <c r="L34" s="2">
        <v>0.15</v>
      </c>
    </row>
    <row r="35" spans="1:4">
      <c r="A35" t="s">
        <v>520</v>
      </c>
      <c r="B35" t="s">
        <v>517</v>
      </c>
      <c r="C35">
        <v>1</v>
      </c>
      <c r="D35" t="s">
        <v>521</v>
      </c>
    </row>
    <row r="36" spans="1:4">
      <c r="A36" t="s">
        <v>522</v>
      </c>
      <c r="B36" t="s">
        <v>517</v>
      </c>
      <c r="C36">
        <v>1</v>
      </c>
      <c r="D36" t="s">
        <v>523</v>
      </c>
    </row>
    <row r="37" spans="1:30">
      <c r="A37" t="s">
        <v>524</v>
      </c>
      <c r="B37" t="s">
        <v>517</v>
      </c>
      <c r="C37">
        <v>1</v>
      </c>
      <c r="AD37" s="2">
        <v>0.1</v>
      </c>
    </row>
    <row r="38" spans="1:9">
      <c r="A38" t="s">
        <v>525</v>
      </c>
      <c r="B38" t="s">
        <v>517</v>
      </c>
      <c r="C38">
        <v>2</v>
      </c>
      <c r="I38" s="2">
        <v>0.8</v>
      </c>
    </row>
    <row r="39" spans="1:4">
      <c r="A39" t="s">
        <v>526</v>
      </c>
      <c r="B39" t="s">
        <v>517</v>
      </c>
      <c r="C39">
        <v>2</v>
      </c>
      <c r="D39" t="s">
        <v>527</v>
      </c>
    </row>
    <row r="40" spans="1:4">
      <c r="A40" t="s">
        <v>528</v>
      </c>
      <c r="B40" t="s">
        <v>517</v>
      </c>
      <c r="C40">
        <v>2</v>
      </c>
      <c r="D40" t="s">
        <v>529</v>
      </c>
    </row>
    <row r="41" spans="1:4">
      <c r="A41" t="s">
        <v>530</v>
      </c>
      <c r="B41" t="s">
        <v>517</v>
      </c>
      <c r="C41">
        <v>2</v>
      </c>
      <c r="D41" t="s">
        <v>531</v>
      </c>
    </row>
    <row r="42" spans="1:4">
      <c r="A42" t="s">
        <v>532</v>
      </c>
      <c r="B42" t="s">
        <v>517</v>
      </c>
      <c r="C42">
        <v>2</v>
      </c>
      <c r="D42" t="s">
        <v>533</v>
      </c>
    </row>
    <row r="43" spans="1:10">
      <c r="A43" t="s">
        <v>534</v>
      </c>
      <c r="B43" t="s">
        <v>517</v>
      </c>
      <c r="C43">
        <v>3</v>
      </c>
      <c r="J43" s="2">
        <v>0.8</v>
      </c>
    </row>
    <row r="44" spans="1:28">
      <c r="A44" t="s">
        <v>535</v>
      </c>
      <c r="B44" t="s">
        <v>517</v>
      </c>
      <c r="C44">
        <v>3</v>
      </c>
      <c r="AB44" s="2">
        <v>0.6</v>
      </c>
    </row>
    <row r="45" spans="1:4">
      <c r="A45" t="s">
        <v>536</v>
      </c>
      <c r="B45" t="s">
        <v>517</v>
      </c>
      <c r="C45">
        <v>3</v>
      </c>
      <c r="D45" t="s">
        <v>537</v>
      </c>
    </row>
    <row r="46" spans="1:4">
      <c r="A46" t="s">
        <v>538</v>
      </c>
      <c r="B46" t="s">
        <v>517</v>
      </c>
      <c r="C46">
        <v>3</v>
      </c>
      <c r="D46" t="s">
        <v>539</v>
      </c>
    </row>
    <row r="47" spans="1:4">
      <c r="A47" t="s">
        <v>540</v>
      </c>
      <c r="B47" t="s">
        <v>541</v>
      </c>
      <c r="C47">
        <v>1</v>
      </c>
      <c r="D47" t="s">
        <v>542</v>
      </c>
    </row>
    <row r="48" spans="1:10">
      <c r="A48" t="s">
        <v>543</v>
      </c>
      <c r="B48" t="s">
        <v>541</v>
      </c>
      <c r="C48">
        <v>1</v>
      </c>
      <c r="D48" t="s">
        <v>544</v>
      </c>
      <c r="J48" s="2">
        <v>0.15</v>
      </c>
    </row>
    <row r="49" spans="1:5">
      <c r="A49" t="s">
        <v>545</v>
      </c>
      <c r="B49" t="s">
        <v>541</v>
      </c>
      <c r="C49">
        <v>1</v>
      </c>
      <c r="D49" t="s">
        <v>546</v>
      </c>
      <c r="E49" s="2">
        <v>0.15</v>
      </c>
    </row>
    <row r="50" spans="1:4">
      <c r="A50" t="s">
        <v>547</v>
      </c>
      <c r="B50" t="s">
        <v>541</v>
      </c>
      <c r="C50">
        <v>1</v>
      </c>
      <c r="D50" t="s">
        <v>548</v>
      </c>
    </row>
    <row r="51" spans="1:4">
      <c r="A51" t="s">
        <v>549</v>
      </c>
      <c r="B51" t="s">
        <v>541</v>
      </c>
      <c r="C51">
        <v>1</v>
      </c>
      <c r="D51" t="s">
        <v>550</v>
      </c>
    </row>
    <row r="52" spans="1:4">
      <c r="A52" t="s">
        <v>551</v>
      </c>
      <c r="B52" t="s">
        <v>541</v>
      </c>
      <c r="C52">
        <v>1</v>
      </c>
      <c r="D52" t="s">
        <v>552</v>
      </c>
    </row>
    <row r="53" spans="1:4">
      <c r="A53" t="s">
        <v>553</v>
      </c>
      <c r="B53" t="s">
        <v>541</v>
      </c>
      <c r="C53">
        <v>2</v>
      </c>
      <c r="D53" t="s">
        <v>554</v>
      </c>
    </row>
    <row r="54" spans="1:4">
      <c r="A54" t="s">
        <v>555</v>
      </c>
      <c r="B54" t="s">
        <v>541</v>
      </c>
      <c r="C54">
        <v>2</v>
      </c>
      <c r="D54" t="s">
        <v>556</v>
      </c>
    </row>
    <row r="55" spans="1:4">
      <c r="A55" t="s">
        <v>557</v>
      </c>
      <c r="B55" t="s">
        <v>541</v>
      </c>
      <c r="C55">
        <v>2</v>
      </c>
      <c r="D55" t="s">
        <v>558</v>
      </c>
    </row>
    <row r="56" spans="1:4">
      <c r="A56" t="s">
        <v>559</v>
      </c>
      <c r="B56" t="s">
        <v>541</v>
      </c>
      <c r="C56">
        <v>2</v>
      </c>
      <c r="D56" t="s">
        <v>560</v>
      </c>
    </row>
    <row r="57" spans="1:4">
      <c r="A57" t="s">
        <v>561</v>
      </c>
      <c r="B57" t="s">
        <v>541</v>
      </c>
      <c r="C57">
        <v>2</v>
      </c>
      <c r="D57" t="s">
        <v>562</v>
      </c>
    </row>
    <row r="58" spans="1:4">
      <c r="A58" t="s">
        <v>563</v>
      </c>
      <c r="B58" t="s">
        <v>541</v>
      </c>
      <c r="C58">
        <v>3</v>
      </c>
      <c r="D58" t="s">
        <v>564</v>
      </c>
    </row>
    <row r="59" spans="1:34">
      <c r="A59" t="s">
        <v>565</v>
      </c>
      <c r="B59" t="s">
        <v>541</v>
      </c>
      <c r="C59">
        <v>3</v>
      </c>
      <c r="AG59" s="2">
        <v>0.6</v>
      </c>
      <c r="AH59" s="2"/>
    </row>
    <row r="60" spans="1:4">
      <c r="A60" t="s">
        <v>566</v>
      </c>
      <c r="B60" t="s">
        <v>541</v>
      </c>
      <c r="C60">
        <v>3</v>
      </c>
      <c r="D60" t="s">
        <v>567</v>
      </c>
    </row>
    <row r="61" spans="1:4">
      <c r="A61" t="s">
        <v>568</v>
      </c>
      <c r="B61" t="s">
        <v>541</v>
      </c>
      <c r="C61">
        <v>3</v>
      </c>
      <c r="D61" t="s">
        <v>569</v>
      </c>
    </row>
    <row r="62" spans="1:4">
      <c r="A62" t="s">
        <v>570</v>
      </c>
      <c r="B62" t="s">
        <v>571</v>
      </c>
      <c r="C62" s="4">
        <v>1</v>
      </c>
      <c r="D62" t="s">
        <v>572</v>
      </c>
    </row>
    <row r="63" spans="1:4">
      <c r="A63" t="s">
        <v>573</v>
      </c>
      <c r="B63" t="s">
        <v>571</v>
      </c>
      <c r="C63" s="4">
        <v>1</v>
      </c>
      <c r="D63" t="s">
        <v>574</v>
      </c>
    </row>
    <row r="64" spans="1:4">
      <c r="A64" t="s">
        <v>575</v>
      </c>
      <c r="B64" t="s">
        <v>571</v>
      </c>
      <c r="C64" s="4">
        <v>1</v>
      </c>
      <c r="D64" t="s">
        <v>576</v>
      </c>
    </row>
    <row r="65" spans="1:9">
      <c r="A65" t="s">
        <v>577</v>
      </c>
      <c r="B65" t="s">
        <v>571</v>
      </c>
      <c r="C65" s="4">
        <v>1</v>
      </c>
      <c r="I65" s="2">
        <v>0.3</v>
      </c>
    </row>
    <row r="66" spans="1:30">
      <c r="A66" t="s">
        <v>578</v>
      </c>
      <c r="B66" t="s">
        <v>571</v>
      </c>
      <c r="C66" s="4">
        <v>1</v>
      </c>
      <c r="AD66" s="2">
        <v>0.1</v>
      </c>
    </row>
    <row r="67" spans="1:4">
      <c r="A67" t="s">
        <v>579</v>
      </c>
      <c r="B67" t="s">
        <v>571</v>
      </c>
      <c r="C67" s="4">
        <v>1</v>
      </c>
      <c r="D67" t="s">
        <v>580</v>
      </c>
    </row>
    <row r="68" spans="1:4">
      <c r="A68" t="s">
        <v>581</v>
      </c>
      <c r="B68" t="s">
        <v>571</v>
      </c>
      <c r="C68" s="4">
        <v>2</v>
      </c>
      <c r="D68" t="s">
        <v>582</v>
      </c>
    </row>
    <row r="69" spans="1:41">
      <c r="A69" t="s">
        <v>583</v>
      </c>
      <c r="B69" t="s">
        <v>571</v>
      </c>
      <c r="C69" s="4">
        <v>2</v>
      </c>
      <c r="AO69">
        <v>1</v>
      </c>
    </row>
    <row r="70" spans="1:4">
      <c r="A70" t="s">
        <v>584</v>
      </c>
      <c r="B70" t="s">
        <v>571</v>
      </c>
      <c r="C70" s="4">
        <v>2</v>
      </c>
      <c r="D70" t="s">
        <v>585</v>
      </c>
    </row>
    <row r="71" spans="1:4">
      <c r="A71" t="s">
        <v>586</v>
      </c>
      <c r="B71" t="s">
        <v>571</v>
      </c>
      <c r="C71" s="4">
        <v>2</v>
      </c>
      <c r="D71" t="s">
        <v>587</v>
      </c>
    </row>
    <row r="72" spans="1:4">
      <c r="A72" t="s">
        <v>588</v>
      </c>
      <c r="B72" t="s">
        <v>571</v>
      </c>
      <c r="C72" s="4">
        <v>2</v>
      </c>
      <c r="D72" t="s">
        <v>589</v>
      </c>
    </row>
    <row r="73" spans="1:4">
      <c r="A73" t="s">
        <v>590</v>
      </c>
      <c r="B73" t="s">
        <v>571</v>
      </c>
      <c r="C73" s="4">
        <v>3</v>
      </c>
      <c r="D73" t="s">
        <v>591</v>
      </c>
    </row>
    <row r="74" spans="1:5">
      <c r="A74" t="s">
        <v>592</v>
      </c>
      <c r="B74" t="s">
        <v>571</v>
      </c>
      <c r="C74" s="4">
        <v>3</v>
      </c>
      <c r="E74" s="2">
        <v>0.8</v>
      </c>
    </row>
    <row r="75" spans="1:22">
      <c r="A75" t="s">
        <v>593</v>
      </c>
      <c r="B75" t="s">
        <v>571</v>
      </c>
      <c r="C75" s="4">
        <v>3</v>
      </c>
      <c r="V75" s="2">
        <v>0.6</v>
      </c>
    </row>
    <row r="76" spans="1:4">
      <c r="A76" t="s">
        <v>594</v>
      </c>
      <c r="B76" t="s">
        <v>571</v>
      </c>
      <c r="C76" s="4">
        <v>3</v>
      </c>
      <c r="D76" t="s">
        <v>595</v>
      </c>
    </row>
    <row r="77" spans="1:13">
      <c r="A77" t="s">
        <v>596</v>
      </c>
      <c r="B77" t="s">
        <v>597</v>
      </c>
      <c r="C77" s="4">
        <v>1</v>
      </c>
      <c r="M77" s="2">
        <v>0.3</v>
      </c>
    </row>
    <row r="78" spans="1:4">
      <c r="A78" t="s">
        <v>598</v>
      </c>
      <c r="B78" t="s">
        <v>597</v>
      </c>
      <c r="C78" s="4">
        <v>1</v>
      </c>
      <c r="D78" t="s">
        <v>599</v>
      </c>
    </row>
    <row r="79" spans="1:4">
      <c r="A79" t="s">
        <v>600</v>
      </c>
      <c r="B79" t="s">
        <v>597</v>
      </c>
      <c r="C79" s="4">
        <v>1</v>
      </c>
      <c r="D79" t="s">
        <v>601</v>
      </c>
    </row>
    <row r="80" spans="1:45">
      <c r="A80" t="s">
        <v>602</v>
      </c>
      <c r="B80" t="s">
        <v>597</v>
      </c>
      <c r="C80" s="4">
        <v>1</v>
      </c>
      <c r="AS80" s="2">
        <v>0.05</v>
      </c>
    </row>
    <row r="81" customFormat="1" spans="1:45">
      <c r="A81" t="s">
        <v>603</v>
      </c>
      <c r="B81" t="s">
        <v>597</v>
      </c>
      <c r="C81" s="4">
        <v>1</v>
      </c>
      <c r="AS81" s="2">
        <v>0.25</v>
      </c>
    </row>
    <row r="82" spans="1:46">
      <c r="A82" t="s">
        <v>604</v>
      </c>
      <c r="B82" t="s">
        <v>597</v>
      </c>
      <c r="C82" s="4">
        <v>1</v>
      </c>
      <c r="AT82" s="2">
        <v>0.05</v>
      </c>
    </row>
    <row r="83" customFormat="1" spans="1:46">
      <c r="A83" t="s">
        <v>605</v>
      </c>
      <c r="B83" t="s">
        <v>597</v>
      </c>
      <c r="C83" s="4">
        <v>1</v>
      </c>
      <c r="AT83" s="2">
        <v>0.25</v>
      </c>
    </row>
    <row r="84" spans="1:47">
      <c r="A84" t="s">
        <v>606</v>
      </c>
      <c r="B84" t="s">
        <v>597</v>
      </c>
      <c r="C84" s="4">
        <v>1</v>
      </c>
      <c r="AU84" s="2">
        <v>0.2</v>
      </c>
    </row>
    <row r="85" customFormat="1" spans="1:47">
      <c r="A85" t="s">
        <v>607</v>
      </c>
      <c r="B85" t="s">
        <v>597</v>
      </c>
      <c r="C85" s="4">
        <v>1</v>
      </c>
      <c r="AU85" s="2">
        <v>0.9</v>
      </c>
    </row>
    <row r="86" spans="1:4">
      <c r="A86" t="s">
        <v>608</v>
      </c>
      <c r="B86" t="s">
        <v>597</v>
      </c>
      <c r="C86" s="4">
        <v>2</v>
      </c>
      <c r="D86" t="s">
        <v>609</v>
      </c>
    </row>
    <row r="87" spans="1:4">
      <c r="A87" t="s">
        <v>610</v>
      </c>
      <c r="B87" t="s">
        <v>597</v>
      </c>
      <c r="C87" s="4">
        <v>2</v>
      </c>
      <c r="D87" t="s">
        <v>611</v>
      </c>
    </row>
    <row r="88" spans="1:12">
      <c r="A88" t="s">
        <v>612</v>
      </c>
      <c r="B88" t="s">
        <v>597</v>
      </c>
      <c r="C88" s="4">
        <v>2</v>
      </c>
      <c r="L88" s="2">
        <v>0.25</v>
      </c>
    </row>
    <row r="89" spans="1:4">
      <c r="A89" t="s">
        <v>613</v>
      </c>
      <c r="B89" t="s">
        <v>597</v>
      </c>
      <c r="C89" s="4">
        <v>2</v>
      </c>
      <c r="D89" t="s">
        <v>614</v>
      </c>
    </row>
    <row r="90" spans="1:4">
      <c r="A90" t="s">
        <v>615</v>
      </c>
      <c r="B90" t="s">
        <v>597</v>
      </c>
      <c r="C90" s="4">
        <v>2</v>
      </c>
      <c r="D90" t="s">
        <v>616</v>
      </c>
    </row>
    <row r="91" customFormat="1" spans="1:27">
      <c r="A91" t="s">
        <v>617</v>
      </c>
      <c r="B91" t="s">
        <v>597</v>
      </c>
      <c r="C91" s="4">
        <v>3</v>
      </c>
      <c r="AA91" s="2">
        <v>0.12</v>
      </c>
    </row>
    <row r="92" spans="1:27">
      <c r="A92" t="s">
        <v>618</v>
      </c>
      <c r="B92" t="s">
        <v>597</v>
      </c>
      <c r="C92" s="4">
        <v>3</v>
      </c>
      <c r="AA92" s="2">
        <v>0.6</v>
      </c>
    </row>
    <row r="93" spans="1:14">
      <c r="A93" t="s">
        <v>619</v>
      </c>
      <c r="B93" t="s">
        <v>597</v>
      </c>
      <c r="C93" s="4">
        <v>3</v>
      </c>
      <c r="N93" s="2">
        <v>0.12</v>
      </c>
    </row>
    <row r="94" spans="1:14">
      <c r="A94" t="s">
        <v>620</v>
      </c>
      <c r="B94" t="s">
        <v>597</v>
      </c>
      <c r="C94" s="4">
        <v>3</v>
      </c>
      <c r="N94" s="2">
        <v>0.6</v>
      </c>
    </row>
    <row r="95" spans="1:4">
      <c r="A95" t="s">
        <v>621</v>
      </c>
      <c r="B95" t="s">
        <v>597</v>
      </c>
      <c r="C95" s="4">
        <v>3</v>
      </c>
      <c r="D95" t="s">
        <v>622</v>
      </c>
    </row>
    <row r="96" spans="1:4">
      <c r="A96" t="s">
        <v>623</v>
      </c>
      <c r="B96" t="s">
        <v>597</v>
      </c>
      <c r="C96" s="4">
        <v>3</v>
      </c>
      <c r="D96" t="s">
        <v>624</v>
      </c>
    </row>
    <row r="97" spans="1:11">
      <c r="A97" t="s">
        <v>625</v>
      </c>
      <c r="B97" t="s">
        <v>626</v>
      </c>
      <c r="C97" s="4">
        <v>1</v>
      </c>
      <c r="K97" s="2">
        <v>0.3</v>
      </c>
    </row>
    <row r="98" spans="1:4">
      <c r="A98" t="s">
        <v>627</v>
      </c>
      <c r="B98" t="s">
        <v>626</v>
      </c>
      <c r="C98" s="4">
        <v>1</v>
      </c>
      <c r="D98" t="s">
        <v>628</v>
      </c>
    </row>
    <row r="99" spans="1:4">
      <c r="A99" t="s">
        <v>629</v>
      </c>
      <c r="B99" t="s">
        <v>626</v>
      </c>
      <c r="C99" s="4">
        <v>1</v>
      </c>
      <c r="D99" t="s">
        <v>630</v>
      </c>
    </row>
    <row r="100" spans="1:6">
      <c r="A100" t="s">
        <v>631</v>
      </c>
      <c r="B100" t="s">
        <v>626</v>
      </c>
      <c r="C100" s="4">
        <v>1</v>
      </c>
      <c r="F100" s="2">
        <v>0.2</v>
      </c>
    </row>
    <row r="101" spans="1:8">
      <c r="A101" t="s">
        <v>632</v>
      </c>
      <c r="B101" t="s">
        <v>626</v>
      </c>
      <c r="C101" s="4">
        <v>1</v>
      </c>
      <c r="D101" t="s">
        <v>633</v>
      </c>
      <c r="H101" s="2">
        <v>0.6</v>
      </c>
    </row>
    <row r="102" spans="1:4">
      <c r="A102" t="s">
        <v>634</v>
      </c>
      <c r="B102" t="s">
        <v>626</v>
      </c>
      <c r="C102" s="4">
        <v>1</v>
      </c>
      <c r="D102" t="s">
        <v>635</v>
      </c>
    </row>
    <row r="103" spans="1:4">
      <c r="A103" t="s">
        <v>636</v>
      </c>
      <c r="B103" t="s">
        <v>626</v>
      </c>
      <c r="C103" s="4">
        <v>2</v>
      </c>
      <c r="D103" t="s">
        <v>637</v>
      </c>
    </row>
    <row r="104" spans="1:16">
      <c r="A104" t="s">
        <v>638</v>
      </c>
      <c r="B104" t="s">
        <v>626</v>
      </c>
      <c r="C104" s="4">
        <v>2</v>
      </c>
      <c r="D104" t="s">
        <v>639</v>
      </c>
      <c r="P104" s="2">
        <v>0.2</v>
      </c>
    </row>
    <row r="105" spans="1:4">
      <c r="A105" t="s">
        <v>640</v>
      </c>
      <c r="B105" t="s">
        <v>626</v>
      </c>
      <c r="C105" s="4">
        <v>2</v>
      </c>
      <c r="D105" t="s">
        <v>641</v>
      </c>
    </row>
    <row r="106" spans="1:4">
      <c r="A106" t="s">
        <v>642</v>
      </c>
      <c r="B106" t="s">
        <v>626</v>
      </c>
      <c r="C106" s="4">
        <v>2</v>
      </c>
      <c r="D106" t="s">
        <v>643</v>
      </c>
    </row>
    <row r="107" spans="1:4">
      <c r="A107" t="s">
        <v>644</v>
      </c>
      <c r="B107" t="s">
        <v>626</v>
      </c>
      <c r="C107" s="4">
        <v>1</v>
      </c>
      <c r="D107" t="s">
        <v>645</v>
      </c>
    </row>
    <row r="108" customFormat="1" spans="1:4">
      <c r="A108" t="s">
        <v>646</v>
      </c>
      <c r="B108" t="s">
        <v>626</v>
      </c>
      <c r="C108" s="4">
        <v>3</v>
      </c>
      <c r="D108" t="s">
        <v>647</v>
      </c>
    </row>
    <row r="109" spans="1:4">
      <c r="A109" t="s">
        <v>648</v>
      </c>
      <c r="B109" t="s">
        <v>626</v>
      </c>
      <c r="C109" s="4">
        <v>3</v>
      </c>
      <c r="D109" t="s">
        <v>649</v>
      </c>
    </row>
    <row r="110" spans="1:28">
      <c r="A110" t="s">
        <v>650</v>
      </c>
      <c r="B110" t="s">
        <v>626</v>
      </c>
      <c r="C110" s="4">
        <v>3</v>
      </c>
      <c r="AB110" s="2">
        <v>0.3</v>
      </c>
    </row>
    <row r="111" spans="1:28">
      <c r="A111" t="s">
        <v>651</v>
      </c>
      <c r="B111" t="s">
        <v>626</v>
      </c>
      <c r="C111" s="4">
        <v>3</v>
      </c>
      <c r="AB111" s="2">
        <v>0.6</v>
      </c>
    </row>
    <row r="112" spans="1:15">
      <c r="A112" t="s">
        <v>652</v>
      </c>
      <c r="B112" t="s">
        <v>626</v>
      </c>
      <c r="C112" s="4">
        <v>3</v>
      </c>
      <c r="D112" t="s">
        <v>653</v>
      </c>
      <c r="O112" s="2">
        <v>0.24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530"/>
  <sheetViews>
    <sheetView topLeftCell="B335" workbookViewId="0">
      <selection activeCell="B335" sqref="B335:B337"/>
    </sheetView>
  </sheetViews>
  <sheetFormatPr defaultColWidth="9" defaultRowHeight="14.25"/>
  <cols>
    <col min="1" max="1" width="12.875" customWidth="1"/>
    <col min="7" max="7" width="14.125" customWidth="1"/>
  </cols>
  <sheetData>
    <row r="1" spans="1:7">
      <c r="A1" t="s">
        <v>46</v>
      </c>
      <c r="B1" t="s">
        <v>654</v>
      </c>
      <c r="C1" t="s">
        <v>146</v>
      </c>
      <c r="D1" t="s">
        <v>9</v>
      </c>
      <c r="E1" s="9" t="s">
        <v>48</v>
      </c>
      <c r="F1" t="s">
        <v>655</v>
      </c>
      <c r="G1" t="s">
        <v>656</v>
      </c>
    </row>
    <row r="2" spans="1:7">
      <c r="A2" t="s">
        <v>271</v>
      </c>
      <c r="B2" s="50" t="s">
        <v>657</v>
      </c>
      <c r="F2" s="4">
        <f t="array" ref="F2">SUM(_xlfn.MAP(_xlfn.SEQUENCE(4),_xlfn.LAMBDA(_xlpm.i,POWER(36,4-_xlpm.i)*_xlfn.MAP(MID(代码表[[#This Row],[代码]],_xlpm.i,1),_xlfn.LAMBDA(_xlpm.a,IF(CODE(_xlpm.a)&gt;64,CODE(_xlpm.a)-55,CODE(_xlpm.a)-48))))))</f>
        <v>1101</v>
      </c>
      <c r="G2" s="10" t="e">
        <f t="array" ref="G2">IFERROR(INDEX(角色MOD表[],MATCH(1,(角色MOD表[名称]=A2)*(角色MOD表[品质]=E2)*IF(D2="",1,(角色MOD表[属性]="")+ISNUMBER(FIND(D2,角色MOD表[属性]))),0),2),INDEX(武器MOD表[],MATCH(1,(武器MOD表[名称]=A2)*(武器MOD表[品质]=E2)*((武器MOD表[类型]=C2)+(武器MOD表[限定]=C2)),0),2))</f>
        <v>#N/A</v>
      </c>
    </row>
    <row r="3" spans="1:7">
      <c r="A3" t="s">
        <v>269</v>
      </c>
      <c r="B3" s="50" t="s">
        <v>658</v>
      </c>
      <c r="F3" s="4">
        <f t="array" ref="F3">SUM(_xlfn.MAP(_xlfn.SEQUENCE(4),_xlfn.LAMBDA(_xlpm.i,POWER(36,4-_xlpm.i)*_xlfn.MAP(MID(代码表[[#This Row],[代码]],_xlpm.i,1),_xlfn.LAMBDA(_xlpm.a,IF(CODE(_xlpm.a)&gt;64,CODE(_xlpm.a)-55,CODE(_xlpm.a)-48))))))</f>
        <v>1501</v>
      </c>
      <c r="G3" s="10" t="e">
        <f t="array" ref="G3">IFERROR(INDEX(角色MOD表[],MATCH(1,(角色MOD表[名称]=A3)*(角色MOD表[品质]=E3)*IF(D3="",1,(角色MOD表[属性]="")+ISNUMBER(FIND(D3,角色MOD表[属性]))),0),2),INDEX(武器MOD表[],MATCH(1,(武器MOD表[名称]=A3)*(武器MOD表[品质]=E3)*((武器MOD表[类型]=C3)+(武器MOD表[限定]=C3)),0),2))</f>
        <v>#N/A</v>
      </c>
    </row>
    <row r="4" spans="1:7">
      <c r="A4" t="s">
        <v>268</v>
      </c>
      <c r="B4" s="50" t="s">
        <v>659</v>
      </c>
      <c r="F4" s="4">
        <f t="array" ref="F4">SUM(_xlfn.MAP(_xlfn.SEQUENCE(4),_xlfn.LAMBDA(_xlpm.i,POWER(36,4-_xlpm.i)*_xlfn.MAP(MID(代码表[[#This Row],[代码]],_xlpm.i,1),_xlfn.LAMBDA(_xlpm.a,IF(CODE(_xlpm.a)&gt;64,CODE(_xlpm.a)-55,CODE(_xlpm.a)-48))))))</f>
        <v>1502</v>
      </c>
      <c r="G4" s="10" t="e">
        <f t="array" ref="G4">IFERROR(INDEX(角色MOD表[],MATCH(1,(角色MOD表[名称]=A4)*(角色MOD表[品质]=E4)*IF(D4="",1,(角色MOD表[属性]="")+ISNUMBER(FIND(D4,角色MOD表[属性]))),0),2),INDEX(武器MOD表[],MATCH(1,(武器MOD表[名称]=A4)*(武器MOD表[品质]=E4)*((武器MOD表[类型]=C4)+(武器MOD表[限定]=C4)),0),2))</f>
        <v>#N/A</v>
      </c>
    </row>
    <row r="5" spans="1:7">
      <c r="A5" t="s">
        <v>267</v>
      </c>
      <c r="B5" s="50" t="s">
        <v>660</v>
      </c>
      <c r="F5" s="4">
        <f t="array" ref="F5">SUM(_xlfn.MAP(_xlfn.SEQUENCE(4),_xlfn.LAMBDA(_xlpm.i,POWER(36,4-_xlpm.i)*_xlfn.MAP(MID(代码表[[#This Row],[代码]],_xlpm.i,1),_xlfn.LAMBDA(_xlpm.a,IF(CODE(_xlpm.a)&gt;64,CODE(_xlpm.a)-55,CODE(_xlpm.a)-48))))))</f>
        <v>1601</v>
      </c>
      <c r="G5" s="10" t="e">
        <f t="array" ref="G5">IFERROR(INDEX(角色MOD表[],MATCH(1,(角色MOD表[名称]=A5)*(角色MOD表[品质]=E5)*IF(D5="",1,(角色MOD表[属性]="")+ISNUMBER(FIND(D5,角色MOD表[属性]))),0),2),INDEX(武器MOD表[],MATCH(1,(武器MOD表[名称]=A5)*(武器MOD表[品质]=E5)*((武器MOD表[类型]=C5)+(武器MOD表[限定]=C5)),0),2))</f>
        <v>#N/A</v>
      </c>
    </row>
    <row r="6" spans="1:7">
      <c r="A6" t="s">
        <v>246</v>
      </c>
      <c r="B6" s="50" t="s">
        <v>661</v>
      </c>
      <c r="F6" s="4">
        <f t="array" ref="F6">SUM(_xlfn.MAP(_xlfn.SEQUENCE(4),_xlfn.LAMBDA(_xlpm.i,POWER(36,4-_xlpm.i)*_xlfn.MAP(MID(代码表[[#This Row],[代码]],_xlpm.i,1),_xlfn.LAMBDA(_xlpm.a,IF(CODE(_xlpm.a)&gt;64,CODE(_xlpm.a)-55,CODE(_xlpm.a)-48))))))</f>
        <v>1801</v>
      </c>
      <c r="G6" s="10" t="e">
        <f t="array" ref="G6">IFERROR(INDEX(角色MOD表[],MATCH(1,(角色MOD表[名称]=A6)*(角色MOD表[品质]=E6)*IF(D6="",1,(角色MOD表[属性]="")+ISNUMBER(FIND(D6,角色MOD表[属性]))),0),2),INDEX(武器MOD表[],MATCH(1,(武器MOD表[名称]=A6)*(武器MOD表[品质]=E6)*((武器MOD表[类型]=C6)+(武器MOD表[限定]=C6)),0),2))</f>
        <v>#N/A</v>
      </c>
    </row>
    <row r="7" spans="1:7">
      <c r="A7" t="s">
        <v>243</v>
      </c>
      <c r="B7" s="50" t="s">
        <v>662</v>
      </c>
      <c r="F7" s="4">
        <f t="array" ref="F7">SUM(_xlfn.MAP(_xlfn.SEQUENCE(4),_xlfn.LAMBDA(_xlpm.i,POWER(36,4-_xlpm.i)*_xlfn.MAP(MID(代码表[[#This Row],[代码]],_xlpm.i,1),_xlfn.LAMBDA(_xlpm.a,IF(CODE(_xlpm.a)&gt;64,CODE(_xlpm.a)-55,CODE(_xlpm.a)-48))))))</f>
        <v>2101</v>
      </c>
      <c r="G7" s="10" t="e">
        <f t="array" ref="G7">IFERROR(INDEX(角色MOD表[],MATCH(1,(角色MOD表[名称]=A7)*(角色MOD表[品质]=E7)*IF(D7="",1,(角色MOD表[属性]="")+ISNUMBER(FIND(D7,角色MOD表[属性]))),0),2),INDEX(武器MOD表[],MATCH(1,(武器MOD表[名称]=A7)*(武器MOD表[品质]=E7)*((武器MOD表[类型]=C7)+(武器MOD表[限定]=C7)),0),2))</f>
        <v>#N/A</v>
      </c>
    </row>
    <row r="8" spans="1:7">
      <c r="A8" t="s">
        <v>248</v>
      </c>
      <c r="B8" s="50" t="s">
        <v>663</v>
      </c>
      <c r="F8" s="4">
        <f t="array" ref="F8">SUM(_xlfn.MAP(_xlfn.SEQUENCE(4),_xlfn.LAMBDA(_xlpm.i,POWER(36,4-_xlpm.i)*_xlfn.MAP(MID(代码表[[#This Row],[代码]],_xlpm.i,1),_xlfn.LAMBDA(_xlpm.a,IF(CODE(_xlpm.a)&gt;64,CODE(_xlpm.a)-55,CODE(_xlpm.a)-48))))))</f>
        <v>2301</v>
      </c>
      <c r="G8" s="10" t="e">
        <f t="array" ref="G8">IFERROR(INDEX(角色MOD表[],MATCH(1,(角色MOD表[名称]=A8)*(角色MOD表[品质]=E8)*IF(D8="",1,(角色MOD表[属性]="")+ISNUMBER(FIND(D8,角色MOD表[属性]))),0),2),INDEX(武器MOD表[],MATCH(1,(武器MOD表[名称]=A8)*(武器MOD表[品质]=E8)*((武器MOD表[类型]=C8)+(武器MOD表[限定]=C8)),0),2))</f>
        <v>#N/A</v>
      </c>
    </row>
    <row r="9" spans="1:7">
      <c r="A9" t="s">
        <v>252</v>
      </c>
      <c r="B9" s="50" t="s">
        <v>664</v>
      </c>
      <c r="F9" s="4">
        <f t="array" ref="F9">SUM(_xlfn.MAP(_xlfn.SEQUENCE(4),_xlfn.LAMBDA(_xlpm.i,POWER(36,4-_xlpm.i)*_xlfn.MAP(MID(代码表[[#This Row],[代码]],_xlpm.i,1),_xlfn.LAMBDA(_xlpm.a,IF(CODE(_xlpm.a)&gt;64,CODE(_xlpm.a)-55,CODE(_xlpm.a)-48))))))</f>
        <v>3101</v>
      </c>
      <c r="G9" s="10" t="e">
        <f t="array" ref="G9">IFERROR(INDEX(角色MOD表[],MATCH(1,(角色MOD表[名称]=A9)*(角色MOD表[品质]=E9)*IF(D9="",1,(角色MOD表[属性]="")+ISNUMBER(FIND(D9,角色MOD表[属性]))),0),2),INDEX(武器MOD表[],MATCH(1,(武器MOD表[名称]=A9)*(武器MOD表[品质]=E9)*((武器MOD表[类型]=C9)+(武器MOD表[限定]=C9)),0),2))</f>
        <v>#N/A</v>
      </c>
    </row>
    <row r="10" spans="1:7">
      <c r="A10" t="s">
        <v>250</v>
      </c>
      <c r="B10" s="50" t="s">
        <v>665</v>
      </c>
      <c r="F10" s="4">
        <f t="array" ref="F10">SUM(_xlfn.MAP(_xlfn.SEQUENCE(4),_xlfn.LAMBDA(_xlpm.i,POWER(36,4-_xlpm.i)*_xlfn.MAP(MID(代码表[[#This Row],[代码]],_xlpm.i,1),_xlfn.LAMBDA(_xlpm.a,IF(CODE(_xlpm.a)&gt;64,CODE(_xlpm.a)-55,CODE(_xlpm.a)-48))))))</f>
        <v>3301</v>
      </c>
      <c r="G10" s="10" t="e">
        <f t="array" ref="G10">IFERROR(INDEX(角色MOD表[],MATCH(1,(角色MOD表[名称]=A10)*(角色MOD表[品质]=E10)*IF(D10="",1,(角色MOD表[属性]="")+ISNUMBER(FIND(D10,角色MOD表[属性]))),0),2),INDEX(武器MOD表[],MATCH(1,(武器MOD表[名称]=A10)*(武器MOD表[品质]=E10)*((武器MOD表[类型]=C10)+(武器MOD表[限定]=C10)),0),2))</f>
        <v>#N/A</v>
      </c>
    </row>
    <row r="11" spans="1:7">
      <c r="A11" t="s">
        <v>240</v>
      </c>
      <c r="B11" s="50" t="s">
        <v>666</v>
      </c>
      <c r="F11" s="4">
        <f t="array" ref="F11">SUM(_xlfn.MAP(_xlfn.SEQUENCE(4),_xlfn.LAMBDA(_xlpm.i,POWER(36,4-_xlpm.i)*_xlfn.MAP(MID(代码表[[#This Row],[代码]],_xlpm.i,1),_xlfn.LAMBDA(_xlpm.a,IF(CODE(_xlpm.a)&gt;64,CODE(_xlpm.a)-55,CODE(_xlpm.a)-48))))))</f>
        <v>4101</v>
      </c>
      <c r="G11" s="10" t="e">
        <f t="array" ref="G11">IFERROR(INDEX(角色MOD表[],MATCH(1,(角色MOD表[名称]=A11)*(角色MOD表[品质]=E11)*IF(D11="",1,(角色MOD表[属性]="")+ISNUMBER(FIND(D11,角色MOD表[属性]))),0),2),INDEX(武器MOD表[],MATCH(1,(武器MOD表[名称]=A11)*(武器MOD表[品质]=E11)*((武器MOD表[类型]=C11)+(武器MOD表[限定]=C11)),0),2))</f>
        <v>#N/A</v>
      </c>
    </row>
    <row r="12" spans="1:7">
      <c r="A12" t="s">
        <v>266</v>
      </c>
      <c r="B12" s="50" t="s">
        <v>667</v>
      </c>
      <c r="F12" s="4">
        <f t="array" ref="F12">SUM(_xlfn.MAP(_xlfn.SEQUENCE(4),_xlfn.LAMBDA(_xlpm.i,POWER(36,4-_xlpm.i)*_xlfn.MAP(MID(代码表[[#This Row],[代码]],_xlpm.i,1),_xlfn.LAMBDA(_xlpm.a,IF(CODE(_xlpm.a)&gt;64,CODE(_xlpm.a)-55,CODE(_xlpm.a)-48))))))</f>
        <v>4202</v>
      </c>
      <c r="G12" s="10" t="e">
        <f t="array" ref="G12">IFERROR(INDEX(角色MOD表[],MATCH(1,(角色MOD表[名称]=A12)*(角色MOD表[品质]=E12)*IF(D12="",1,(角色MOD表[属性]="")+ISNUMBER(FIND(D12,角色MOD表[属性]))),0),2),INDEX(武器MOD表[],MATCH(1,(武器MOD表[名称]=A12)*(武器MOD表[品质]=E12)*((武器MOD表[类型]=C12)+(武器MOD表[限定]=C12)),0),2))</f>
        <v>#N/A</v>
      </c>
    </row>
    <row r="13" spans="1:7">
      <c r="A13" t="s">
        <v>264</v>
      </c>
      <c r="B13" s="50" t="s">
        <v>668</v>
      </c>
      <c r="F13" s="4">
        <f t="array" ref="F13">SUM(_xlfn.MAP(_xlfn.SEQUENCE(4),_xlfn.LAMBDA(_xlpm.i,POWER(36,4-_xlpm.i)*_xlfn.MAP(MID(代码表[[#This Row],[代码]],_xlpm.i,1),_xlfn.LAMBDA(_xlpm.a,IF(CODE(_xlpm.a)&gt;64,CODE(_xlpm.a)-55,CODE(_xlpm.a)-48))))))</f>
        <v>4301</v>
      </c>
      <c r="G13" s="10" t="e">
        <f t="array" ref="G13">IFERROR(INDEX(角色MOD表[],MATCH(1,(角色MOD表[名称]=A13)*(角色MOD表[品质]=E13)*IF(D13="",1,(角色MOD表[属性]="")+ISNUMBER(FIND(D13,角色MOD表[属性]))),0),2),INDEX(武器MOD表[],MATCH(1,(武器MOD表[名称]=A13)*(武器MOD表[品质]=E13)*((武器MOD表[类型]=C13)+(武器MOD表[限定]=C13)),0),2))</f>
        <v>#N/A</v>
      </c>
    </row>
    <row r="14" spans="1:7">
      <c r="A14" t="s">
        <v>259</v>
      </c>
      <c r="B14" s="50" t="s">
        <v>669</v>
      </c>
      <c r="F14" s="4">
        <f t="array" ref="F14">SUM(_xlfn.MAP(_xlfn.SEQUENCE(4),_xlfn.LAMBDA(_xlpm.i,POWER(36,4-_xlpm.i)*_xlfn.MAP(MID(代码表[[#This Row],[代码]],_xlpm.i,1),_xlfn.LAMBDA(_xlpm.a,IF(CODE(_xlpm.a)&gt;64,CODE(_xlpm.a)-55,CODE(_xlpm.a)-48))))))</f>
        <v>5101</v>
      </c>
      <c r="G14" s="10" t="e">
        <f t="array" ref="G14">IFERROR(INDEX(角色MOD表[],MATCH(1,(角色MOD表[名称]=A14)*(角色MOD表[品质]=E14)*IF(D14="",1,(角色MOD表[属性]="")+ISNUMBER(FIND(D14,角色MOD表[属性]))),0),2),INDEX(武器MOD表[],MATCH(1,(武器MOD表[名称]=A14)*(武器MOD表[品质]=E14)*((武器MOD表[类型]=C14)+(武器MOD表[限定]=C14)),0),2))</f>
        <v>#N/A</v>
      </c>
    </row>
    <row r="15" spans="1:7">
      <c r="A15" t="s">
        <v>260</v>
      </c>
      <c r="B15" s="50" t="s">
        <v>670</v>
      </c>
      <c r="F15" s="4">
        <f t="array" ref="F15">SUM(_xlfn.MAP(_xlfn.SEQUENCE(4),_xlfn.LAMBDA(_xlpm.i,POWER(36,4-_xlpm.i)*_xlfn.MAP(MID(代码表[[#This Row],[代码]],_xlpm.i,1),_xlfn.LAMBDA(_xlpm.a,IF(CODE(_xlpm.a)&gt;64,CODE(_xlpm.a)-55,CODE(_xlpm.a)-48))))))</f>
        <v>5102</v>
      </c>
      <c r="G15" s="10" t="e">
        <f t="array" ref="G15">IFERROR(INDEX(角色MOD表[],MATCH(1,(角色MOD表[名称]=A15)*(角色MOD表[品质]=E15)*IF(D15="",1,(角色MOD表[属性]="")+ISNUMBER(FIND(D15,角色MOD表[属性]))),0),2),INDEX(武器MOD表[],MATCH(1,(武器MOD表[名称]=A15)*(武器MOD表[品质]=E15)*((武器MOD表[类型]=C15)+(武器MOD表[限定]=C15)),0),2))</f>
        <v>#N/A</v>
      </c>
    </row>
    <row r="16" spans="1:7">
      <c r="A16" t="s">
        <v>17</v>
      </c>
      <c r="B16" s="50" t="s">
        <v>671</v>
      </c>
      <c r="F16" s="4">
        <f t="array" ref="F16">SUM(_xlfn.MAP(_xlfn.SEQUENCE(4),_xlfn.LAMBDA(_xlpm.i,POWER(36,4-_xlpm.i)*_xlfn.MAP(MID(代码表[[#This Row],[代码]],_xlpm.i,1),_xlfn.LAMBDA(_xlpm.a,IF(CODE(_xlpm.a)&gt;64,CODE(_xlpm.a)-55,CODE(_xlpm.a)-48))))))</f>
        <v>5301</v>
      </c>
      <c r="G16" s="10" t="e">
        <f t="array" ref="G16">IFERROR(INDEX(角色MOD表[],MATCH(1,(角色MOD表[名称]=A16)*(角色MOD表[品质]=E16)*IF(D16="",1,(角色MOD表[属性]="")+ISNUMBER(FIND(D16,角色MOD表[属性]))),0),2),INDEX(武器MOD表[],MATCH(1,(武器MOD表[名称]=A16)*(武器MOD表[品质]=E16)*((武器MOD表[类型]=C16)+(武器MOD表[限定]=C16)),0),2))</f>
        <v>#N/A</v>
      </c>
    </row>
    <row r="17" spans="1:7">
      <c r="A17" t="s">
        <v>262</v>
      </c>
      <c r="B17" s="50" t="s">
        <v>672</v>
      </c>
      <c r="F17" s="4">
        <f t="array" ref="F17">SUM(_xlfn.MAP(_xlfn.SEQUENCE(4),_xlfn.LAMBDA(_xlpm.i,POWER(36,4-_xlpm.i)*_xlfn.MAP(MID(代码表[[#This Row],[代码]],_xlpm.i,1),_xlfn.LAMBDA(_xlpm.a,IF(CODE(_xlpm.a)&gt;64,CODE(_xlpm.a)-55,CODE(_xlpm.a)-48))))))</f>
        <v>5401</v>
      </c>
      <c r="G17" s="10" t="e">
        <f t="array" ref="G17">IFERROR(INDEX(角色MOD表[],MATCH(1,(角色MOD表[名称]=A17)*(角色MOD表[品质]=E17)*IF(D17="",1,(角色MOD表[属性]="")+ISNUMBER(FIND(D17,角色MOD表[属性]))),0),2),INDEX(武器MOD表[],MATCH(1,(武器MOD表[名称]=A17)*(武器MOD表[品质]=E17)*((武器MOD表[类型]=C17)+(武器MOD表[限定]=C17)),0),2))</f>
        <v>#N/A</v>
      </c>
    </row>
    <row r="18" spans="1:7">
      <c r="A18" t="s">
        <v>673</v>
      </c>
      <c r="B18" s="50" t="s">
        <v>674</v>
      </c>
      <c r="F18" s="4">
        <f t="array" ref="F18">SUM(_xlfn.MAP(_xlfn.SEQUENCE(4),_xlfn.LAMBDA(_xlpm.i,POWER(36,4-_xlpm.i)*_xlfn.MAP(MID(代码表[[#This Row],[代码]],_xlpm.i,1),_xlfn.LAMBDA(_xlpm.a,IF(CODE(_xlpm.a)&gt;64,CODE(_xlpm.a)-55,CODE(_xlpm.a)-48))))))</f>
        <v>10101</v>
      </c>
      <c r="G18" s="10" t="e">
        <f t="array" ref="G18">IFERROR(INDEX(角色MOD表[],MATCH(1,(角色MOD表[名称]=A18)*(角色MOD表[品质]=E18)*IF(D18="",1,(角色MOD表[属性]="")+ISNUMBER(FIND(D18,角色MOD表[属性]))),0),2),INDEX(武器MOD表[],MATCH(1,(武器MOD表[名称]=A18)*(武器MOD表[品质]=E18)*((武器MOD表[类型]=C18)+(武器MOD表[限定]=C18)),0),2))</f>
        <v>#N/A</v>
      </c>
    </row>
    <row r="19" spans="1:7">
      <c r="A19" t="s">
        <v>675</v>
      </c>
      <c r="B19" s="50" t="s">
        <v>676</v>
      </c>
      <c r="F19" s="4">
        <f t="array" ref="F19">SUM(_xlfn.MAP(_xlfn.SEQUENCE(4),_xlfn.LAMBDA(_xlpm.i,POWER(36,4-_xlpm.i)*_xlfn.MAP(MID(代码表[[#This Row],[代码]],_xlpm.i,1),_xlfn.LAMBDA(_xlpm.a,IF(CODE(_xlpm.a)&gt;64,CODE(_xlpm.a)-55,CODE(_xlpm.a)-48))))))</f>
        <v>10103</v>
      </c>
      <c r="G19" s="10" t="e">
        <f t="array" ref="G19">IFERROR(INDEX(角色MOD表[],MATCH(1,(角色MOD表[名称]=A19)*(角色MOD表[品质]=E19)*IF(D19="",1,(角色MOD表[属性]="")+ISNUMBER(FIND(D19,角色MOD表[属性]))),0),2),INDEX(武器MOD表[],MATCH(1,(武器MOD表[名称]=A19)*(武器MOD表[品质]=E19)*((武器MOD表[类型]=C19)+(武器MOD表[限定]=C19)),0),2))</f>
        <v>#N/A</v>
      </c>
    </row>
    <row r="20" spans="1:7">
      <c r="A20" t="s">
        <v>677</v>
      </c>
      <c r="B20" s="50" t="s">
        <v>678</v>
      </c>
      <c r="F20" s="4">
        <f t="array" ref="F20">SUM(_xlfn.MAP(_xlfn.SEQUENCE(4),_xlfn.LAMBDA(_xlpm.i,POWER(36,4-_xlpm.i)*_xlfn.MAP(MID(代码表[[#This Row],[代码]],_xlpm.i,1),_xlfn.LAMBDA(_xlpm.a,IF(CODE(_xlpm.a)&gt;64,CODE(_xlpm.a)-55,CODE(_xlpm.a)-48))))))</f>
        <v>10104</v>
      </c>
      <c r="G20" s="10" t="e">
        <f t="array" ref="G20">IFERROR(INDEX(角色MOD表[],MATCH(1,(角色MOD表[名称]=A20)*(角色MOD表[品质]=E20)*IF(D20="",1,(角色MOD表[属性]="")+ISNUMBER(FIND(D20,角色MOD表[属性]))),0),2),INDEX(武器MOD表[],MATCH(1,(武器MOD表[名称]=A20)*(武器MOD表[品质]=E20)*((武器MOD表[类型]=C20)+(武器MOD表[限定]=C20)),0),2))</f>
        <v>#N/A</v>
      </c>
    </row>
    <row r="21" spans="1:7">
      <c r="A21" t="s">
        <v>679</v>
      </c>
      <c r="B21" s="50" t="s">
        <v>680</v>
      </c>
      <c r="F21" s="4">
        <f t="array" ref="F21">SUM(_xlfn.MAP(_xlfn.SEQUENCE(4),_xlfn.LAMBDA(_xlpm.i,POWER(36,4-_xlpm.i)*_xlfn.MAP(MID(代码表[[#This Row],[代码]],_xlpm.i,1),_xlfn.LAMBDA(_xlpm.a,IF(CODE(_xlpm.a)&gt;64,CODE(_xlpm.a)-55,CODE(_xlpm.a)-48))))))</f>
        <v>10201</v>
      </c>
      <c r="G21" s="10" t="e">
        <f t="array" ref="G21">IFERROR(INDEX(角色MOD表[],MATCH(1,(角色MOD表[名称]=A21)*(角色MOD表[品质]=E21)*IF(D21="",1,(角色MOD表[属性]="")+ISNUMBER(FIND(D21,角色MOD表[属性]))),0),2),INDEX(武器MOD表[],MATCH(1,(武器MOD表[名称]=A21)*(武器MOD表[品质]=E21)*((武器MOD表[类型]=C21)+(武器MOD表[限定]=C21)),0),2))</f>
        <v>#N/A</v>
      </c>
    </row>
    <row r="22" spans="1:7">
      <c r="A22" t="s">
        <v>681</v>
      </c>
      <c r="B22" s="50" t="s">
        <v>682</v>
      </c>
      <c r="F22" s="4">
        <f t="array" ref="F22">SUM(_xlfn.MAP(_xlfn.SEQUENCE(4),_xlfn.LAMBDA(_xlpm.i,POWER(36,4-_xlpm.i)*_xlfn.MAP(MID(代码表[[#This Row],[代码]],_xlpm.i,1),_xlfn.LAMBDA(_xlpm.a,IF(CODE(_xlpm.a)&gt;64,CODE(_xlpm.a)-55,CODE(_xlpm.a)-48))))))</f>
        <v>10202</v>
      </c>
      <c r="G22" s="10" t="e">
        <f t="array" ref="G22">IFERROR(INDEX(角色MOD表[],MATCH(1,(角色MOD表[名称]=A22)*(角色MOD表[品质]=E22)*IF(D22="",1,(角色MOD表[属性]="")+ISNUMBER(FIND(D22,角色MOD表[属性]))),0),2),INDEX(武器MOD表[],MATCH(1,(武器MOD表[名称]=A22)*(武器MOD表[品质]=E22)*((武器MOD表[类型]=C22)+(武器MOD表[限定]=C22)),0),2))</f>
        <v>#N/A</v>
      </c>
    </row>
    <row r="23" spans="1:7">
      <c r="A23" t="s">
        <v>141</v>
      </c>
      <c r="B23" s="50" t="s">
        <v>683</v>
      </c>
      <c r="F23" s="4">
        <f t="array" ref="F23">SUM(_xlfn.MAP(_xlfn.SEQUENCE(4),_xlfn.LAMBDA(_xlpm.i,POWER(36,4-_xlpm.i)*_xlfn.MAP(MID(代码表[[#This Row],[代码]],_xlpm.i,1),_xlfn.LAMBDA(_xlpm.a,IF(CODE(_xlpm.a)&gt;64,CODE(_xlpm.a)-55,CODE(_xlpm.a)-48))))))</f>
        <v>10204</v>
      </c>
      <c r="G23" s="10" t="e">
        <f t="array" ref="G23">IFERROR(INDEX(角色MOD表[],MATCH(1,(角色MOD表[名称]=A23)*(角色MOD表[品质]=E23)*IF(D23="",1,(角色MOD表[属性]="")+ISNUMBER(FIND(D23,角色MOD表[属性]))),0),2),INDEX(武器MOD表[],MATCH(1,(武器MOD表[名称]=A23)*(武器MOD表[品质]=E23)*((武器MOD表[类型]=C23)+(武器MOD表[限定]=C23)),0),2))</f>
        <v>#N/A</v>
      </c>
    </row>
    <row r="24" spans="1:7">
      <c r="A24" t="s">
        <v>684</v>
      </c>
      <c r="B24" s="50" t="s">
        <v>685</v>
      </c>
      <c r="F24" s="4">
        <f t="array" ref="F24">SUM(_xlfn.MAP(_xlfn.SEQUENCE(4),_xlfn.LAMBDA(_xlpm.i,POWER(36,4-_xlpm.i)*_xlfn.MAP(MID(代码表[[#This Row],[代码]],_xlpm.i,1),_xlfn.LAMBDA(_xlpm.a,IF(CODE(_xlpm.a)&gt;64,CODE(_xlpm.a)-55,CODE(_xlpm.a)-48))))))</f>
        <v>10206</v>
      </c>
      <c r="G24" s="10" t="e">
        <f t="array" ref="G24">IFERROR(INDEX(角色MOD表[],MATCH(1,(角色MOD表[名称]=A24)*(角色MOD表[品质]=E24)*IF(D24="",1,(角色MOD表[属性]="")+ISNUMBER(FIND(D24,角色MOD表[属性]))),0),2),INDEX(武器MOD表[],MATCH(1,(武器MOD表[名称]=A24)*(武器MOD表[品质]=E24)*((武器MOD表[类型]=C24)+(武器MOD表[限定]=C24)),0),2))</f>
        <v>#N/A</v>
      </c>
    </row>
    <row r="25" spans="1:7">
      <c r="A25" t="s">
        <v>686</v>
      </c>
      <c r="B25" s="50" t="s">
        <v>687</v>
      </c>
      <c r="F25" s="4">
        <f t="array" ref="F25">SUM(_xlfn.MAP(_xlfn.SEQUENCE(4),_xlfn.LAMBDA(_xlpm.i,POWER(36,4-_xlpm.i)*_xlfn.MAP(MID(代码表[[#This Row],[代码]],_xlpm.i,1),_xlfn.LAMBDA(_xlpm.a,IF(CODE(_xlpm.a)&gt;64,CODE(_xlpm.a)-55,CODE(_xlpm.a)-48))))))</f>
        <v>10302</v>
      </c>
      <c r="G25" s="10" t="e">
        <f t="array" ref="G25">IFERROR(INDEX(角色MOD表[],MATCH(1,(角色MOD表[名称]=A25)*(角色MOD表[品质]=E25)*IF(D25="",1,(角色MOD表[属性]="")+ISNUMBER(FIND(D25,角色MOD表[属性]))),0),2),INDEX(武器MOD表[],MATCH(1,(武器MOD表[名称]=A25)*(武器MOD表[品质]=E25)*((武器MOD表[类型]=C25)+(武器MOD表[限定]=C25)),0),2))</f>
        <v>#N/A</v>
      </c>
    </row>
    <row r="26" spans="1:7">
      <c r="A26" t="s">
        <v>688</v>
      </c>
      <c r="B26" s="50" t="s">
        <v>689</v>
      </c>
      <c r="F26" s="4">
        <f t="array" ref="F26">SUM(_xlfn.MAP(_xlfn.SEQUENCE(4),_xlfn.LAMBDA(_xlpm.i,POWER(36,4-_xlpm.i)*_xlfn.MAP(MID(代码表[[#This Row],[代码]],_xlpm.i,1),_xlfn.LAMBDA(_xlpm.a,IF(CODE(_xlpm.a)&gt;64,CODE(_xlpm.a)-55,CODE(_xlpm.a)-48))))))</f>
        <v>10303</v>
      </c>
      <c r="G26" s="10" t="e">
        <f t="array" ref="G26">IFERROR(INDEX(角色MOD表[],MATCH(1,(角色MOD表[名称]=A26)*(角色MOD表[品质]=E26)*IF(D26="",1,(角色MOD表[属性]="")+ISNUMBER(FIND(D26,角色MOD表[属性]))),0),2),INDEX(武器MOD表[],MATCH(1,(武器MOD表[名称]=A26)*(武器MOD表[品质]=E26)*((武器MOD表[类型]=C26)+(武器MOD表[限定]=C26)),0),2))</f>
        <v>#N/A</v>
      </c>
    </row>
    <row r="27" spans="1:7">
      <c r="A27" t="s">
        <v>690</v>
      </c>
      <c r="B27" s="50" t="s">
        <v>691</v>
      </c>
      <c r="F27" s="4">
        <f t="array" ref="F27">SUM(_xlfn.MAP(_xlfn.SEQUENCE(4),_xlfn.LAMBDA(_xlpm.i,POWER(36,4-_xlpm.i)*_xlfn.MAP(MID(代码表[[#This Row],[代码]],_xlpm.i,1),_xlfn.LAMBDA(_xlpm.a,IF(CODE(_xlpm.a)&gt;64,CODE(_xlpm.a)-55,CODE(_xlpm.a)-48))))))</f>
        <v>10401</v>
      </c>
      <c r="G27" s="10" t="e">
        <f t="array" ref="G27">IFERROR(INDEX(角色MOD表[],MATCH(1,(角色MOD表[名称]=A27)*(角色MOD表[品质]=E27)*IF(D27="",1,(角色MOD表[属性]="")+ISNUMBER(FIND(D27,角色MOD表[属性]))),0),2),INDEX(武器MOD表[],MATCH(1,(武器MOD表[名称]=A27)*(武器MOD表[品质]=E27)*((武器MOD表[类型]=C27)+(武器MOD表[限定]=C27)),0),2))</f>
        <v>#N/A</v>
      </c>
    </row>
    <row r="28" spans="1:7">
      <c r="A28" t="s">
        <v>692</v>
      </c>
      <c r="B28" s="50" t="s">
        <v>693</v>
      </c>
      <c r="F28" s="4">
        <f t="array" ref="F28">SUM(_xlfn.MAP(_xlfn.SEQUENCE(4),_xlfn.LAMBDA(_xlpm.i,POWER(36,4-_xlpm.i)*_xlfn.MAP(MID(代码表[[#This Row],[代码]],_xlpm.i,1),_xlfn.LAMBDA(_xlpm.a,IF(CODE(_xlpm.a)&gt;64,CODE(_xlpm.a)-55,CODE(_xlpm.a)-48))))))</f>
        <v>10403</v>
      </c>
      <c r="G28" s="10" t="e">
        <f t="array" ref="G28">IFERROR(INDEX(角色MOD表[],MATCH(1,(角色MOD表[名称]=A28)*(角色MOD表[品质]=E28)*IF(D28="",1,(角色MOD表[属性]="")+ISNUMBER(FIND(D28,角色MOD表[属性]))),0),2),INDEX(武器MOD表[],MATCH(1,(武器MOD表[名称]=A28)*(武器MOD表[品质]=E28)*((武器MOD表[类型]=C28)+(武器MOD表[限定]=C28)),0),2))</f>
        <v>#N/A</v>
      </c>
    </row>
    <row r="29" spans="1:7">
      <c r="A29" t="s">
        <v>694</v>
      </c>
      <c r="B29" s="50" t="s">
        <v>695</v>
      </c>
      <c r="F29" s="4">
        <f t="array" ref="F29">SUM(_xlfn.MAP(_xlfn.SEQUENCE(4),_xlfn.LAMBDA(_xlpm.i,POWER(36,4-_xlpm.i)*_xlfn.MAP(MID(代码表[[#This Row],[代码]],_xlpm.i,1),_xlfn.LAMBDA(_xlpm.a,IF(CODE(_xlpm.a)&gt;64,CODE(_xlpm.a)-55,CODE(_xlpm.a)-48))))))</f>
        <v>10501</v>
      </c>
      <c r="G29" s="10" t="e">
        <f t="array" ref="G29">IFERROR(INDEX(角色MOD表[],MATCH(1,(角色MOD表[名称]=A29)*(角色MOD表[品质]=E29)*IF(D29="",1,(角色MOD表[属性]="")+ISNUMBER(FIND(D29,角色MOD表[属性]))),0),2),INDEX(武器MOD表[],MATCH(1,(武器MOD表[名称]=A29)*(武器MOD表[品质]=E29)*((武器MOD表[类型]=C29)+(武器MOD表[限定]=C29)),0),2))</f>
        <v>#N/A</v>
      </c>
    </row>
    <row r="30" spans="1:7">
      <c r="A30" t="s">
        <v>696</v>
      </c>
      <c r="B30" s="50" t="s">
        <v>697</v>
      </c>
      <c r="F30" s="4">
        <f t="array" ref="F30">SUM(_xlfn.MAP(_xlfn.SEQUENCE(4),_xlfn.LAMBDA(_xlpm.i,POWER(36,4-_xlpm.i)*_xlfn.MAP(MID(代码表[[#This Row],[代码]],_xlpm.i,1),_xlfn.LAMBDA(_xlpm.a,IF(CODE(_xlpm.a)&gt;64,CODE(_xlpm.a)-55,CODE(_xlpm.a)-48))))))</f>
        <v>10503</v>
      </c>
      <c r="G30" s="10" t="e">
        <f t="array" ref="G30">IFERROR(INDEX(角色MOD表[],MATCH(1,(角色MOD表[名称]=A30)*(角色MOD表[品质]=E30)*IF(D30="",1,(角色MOD表[属性]="")+ISNUMBER(FIND(D30,角色MOD表[属性]))),0),2),INDEX(武器MOD表[],MATCH(1,(武器MOD表[名称]=A30)*(武器MOD表[品质]=E30)*((武器MOD表[类型]=C30)+(武器MOD表[限定]=C30)),0),2))</f>
        <v>#N/A</v>
      </c>
    </row>
    <row r="31" spans="1:7">
      <c r="A31" t="s">
        <v>698</v>
      </c>
      <c r="B31" s="50" t="s">
        <v>699</v>
      </c>
      <c r="F31" s="4">
        <f t="array" ref="F31">SUM(_xlfn.MAP(_xlfn.SEQUENCE(4),_xlfn.LAMBDA(_xlpm.i,POWER(36,4-_xlpm.i)*_xlfn.MAP(MID(代码表[[#This Row],[代码]],_xlpm.i,1),_xlfn.LAMBDA(_xlpm.a,IF(CODE(_xlpm.a)&gt;64,CODE(_xlpm.a)-55,CODE(_xlpm.a)-48))))))</f>
        <v>10601</v>
      </c>
      <c r="G31" s="10" t="e">
        <f t="array" ref="G31">IFERROR(INDEX(角色MOD表[],MATCH(1,(角色MOD表[名称]=A31)*(角色MOD表[品质]=E31)*IF(D31="",1,(角色MOD表[属性]="")+ISNUMBER(FIND(D31,角色MOD表[属性]))),0),2),INDEX(武器MOD表[],MATCH(1,(武器MOD表[名称]=A31)*(武器MOD表[品质]=E31)*((武器MOD表[类型]=C31)+(武器MOD表[限定]=C31)),0),2))</f>
        <v>#N/A</v>
      </c>
    </row>
    <row r="32" spans="1:7">
      <c r="A32" t="s">
        <v>700</v>
      </c>
      <c r="B32" s="50" t="s">
        <v>701</v>
      </c>
      <c r="F32" s="4">
        <f t="array" ref="F32">SUM(_xlfn.MAP(_xlfn.SEQUENCE(4),_xlfn.LAMBDA(_xlpm.i,POWER(36,4-_xlpm.i)*_xlfn.MAP(MID(代码表[[#This Row],[代码]],_xlpm.i,1),_xlfn.LAMBDA(_xlpm.a,IF(CODE(_xlpm.a)&gt;64,CODE(_xlpm.a)-55,CODE(_xlpm.a)-48))))))</f>
        <v>10602</v>
      </c>
      <c r="G32" s="10" t="e">
        <f t="array" ref="G32">IFERROR(INDEX(角色MOD表[],MATCH(1,(角色MOD表[名称]=A32)*(角色MOD表[品质]=E32)*IF(D32="",1,(角色MOD表[属性]="")+ISNUMBER(FIND(D32,角色MOD表[属性]))),0),2),INDEX(武器MOD表[],MATCH(1,(武器MOD表[名称]=A32)*(武器MOD表[品质]=E32)*((武器MOD表[类型]=C32)+(武器MOD表[限定]=C32)),0),2))</f>
        <v>#N/A</v>
      </c>
    </row>
    <row r="33" spans="1:7">
      <c r="A33" t="s">
        <v>702</v>
      </c>
      <c r="B33" s="50" t="s">
        <v>703</v>
      </c>
      <c r="C33" t="s">
        <v>16</v>
      </c>
      <c r="D33"/>
      <c r="E33" t="s">
        <v>704</v>
      </c>
      <c r="F33">
        <f t="array" ref="F33">SUM(_xlfn.MAP(_xlfn.SEQUENCE(4),_xlfn.LAMBDA(_xlpm.i,POWER(36,4-_xlpm.i)*_xlfn.MAP(MID(代码表[[#This Row],[代码]],_xlpm.i,1),_xlfn.LAMBDA(_xlpm.a,IF(CODE(_xlpm.a)&gt;64,CODE(_xlpm.a)-55,CODE(_xlpm.a)-48))))))</f>
        <v>11001</v>
      </c>
      <c r="G33" s="10" t="str">
        <f t="array" ref="G33">IFERROR(INDEX(角色MOD表[],MATCH(1,(角色MOD表[名称]=A33)*(角色MOD表[品质]=E33)*IF(D33="",1,(角色MOD表[属性]="")+ISNUMBER(FIND(D33,角色MOD表[属性]))),0),2),INDEX(武器MOD表[],MATCH(1,(武器MOD表[名称]=A33)*(武器MOD表[品质]=E33)*((武器MOD表[类型]=C33)+(武器MOD表[限定]=C33)),0),2))</f>
        <v>不死鸟</v>
      </c>
    </row>
    <row r="34" spans="1:7">
      <c r="A34" s="9" t="s">
        <v>705</v>
      </c>
      <c r="B34" s="50" t="s">
        <v>706</v>
      </c>
      <c r="C34" t="s">
        <v>16</v>
      </c>
      <c r="D34"/>
      <c r="E34" t="s">
        <v>704</v>
      </c>
      <c r="F34">
        <f t="array" ref="F34">SUM(_xlfn.MAP(_xlfn.SEQUENCE(4),_xlfn.LAMBDA(_xlpm.i,POWER(36,4-_xlpm.i)*_xlfn.MAP(MID(代码表[[#This Row],[代码]],_xlpm.i,1),_xlfn.LAMBDA(_xlpm.a,IF(CODE(_xlpm.a)&gt;64,CODE(_xlpm.a)-55,CODE(_xlpm.a)-48))))))</f>
        <v>11002</v>
      </c>
      <c r="G34" s="10" t="str">
        <f t="array" ref="G34">IFERROR(INDEX(角色MOD表[],MATCH(1,(角色MOD表[名称]=A34)*(角色MOD表[品质]=E34)*IF(D34="",1,(角色MOD表[属性]="")+ISNUMBER(FIND(D34,角色MOD表[属性]))),0),2),INDEX(武器MOD表[],MATCH(1,(武器MOD表[名称]=A34)*(武器MOD表[品质]=E34)*((武器MOD表[类型]=C34)+(武器MOD表[限定]=C34)),0),2))</f>
        <v>不死鸟</v>
      </c>
    </row>
    <row r="35" spans="1:7">
      <c r="A35" s="9" t="s">
        <v>707</v>
      </c>
      <c r="B35" s="50" t="s">
        <v>708</v>
      </c>
      <c r="C35" t="s">
        <v>16</v>
      </c>
      <c r="D35"/>
      <c r="E35" t="s">
        <v>704</v>
      </c>
      <c r="F35">
        <f t="array" ref="F35">SUM(_xlfn.MAP(_xlfn.SEQUENCE(4),_xlfn.LAMBDA(_xlpm.i,POWER(36,4-_xlpm.i)*_xlfn.MAP(MID(代码表[[#This Row],[代码]],_xlpm.i,1),_xlfn.LAMBDA(_xlpm.a,IF(CODE(_xlpm.a)&gt;64,CODE(_xlpm.a)-55,CODE(_xlpm.a)-48))))))</f>
        <v>11003</v>
      </c>
      <c r="G35" s="10" t="str">
        <f t="array" ref="G35">IFERROR(INDEX(角色MOD表[],MATCH(1,(角色MOD表[名称]=A35)*(角色MOD表[品质]=E35)*IF(D35="",1,(角色MOD表[属性]="")+ISNUMBER(FIND(D35,角色MOD表[属性]))),0),2),INDEX(武器MOD表[],MATCH(1,(武器MOD表[名称]=A35)*(武器MOD表[品质]=E35)*((武器MOD表[类型]=C35)+(武器MOD表[限定]=C35)),0),2))</f>
        <v>不死鸟</v>
      </c>
    </row>
    <row r="36" spans="1:7">
      <c r="A36" t="s">
        <v>709</v>
      </c>
      <c r="B36" s="50" t="s">
        <v>710</v>
      </c>
      <c r="C36" t="s">
        <v>16</v>
      </c>
      <c r="D36"/>
      <c r="E36" t="s">
        <v>704</v>
      </c>
      <c r="F36">
        <f t="array" ref="F36">SUM(_xlfn.MAP(_xlfn.SEQUENCE(4),_xlfn.LAMBDA(_xlpm.i,POWER(36,4-_xlpm.i)*_xlfn.MAP(MID(代码表[[#This Row],[代码]],_xlpm.i,1),_xlfn.LAMBDA(_xlpm.a,IF(CODE(_xlpm.a)&gt;64,CODE(_xlpm.a)-55,CODE(_xlpm.a)-48))))))</f>
        <v>11004</v>
      </c>
      <c r="G36" s="10" t="str">
        <f t="array" ref="G36">IFERROR(INDEX(角色MOD表[],MATCH(1,(角色MOD表[名称]=A36)*(角色MOD表[品质]=E36)*IF(D36="",1,(角色MOD表[属性]="")+ISNUMBER(FIND(D36,角色MOD表[属性]))),0),2),INDEX(武器MOD表[],MATCH(1,(武器MOD表[名称]=A36)*(武器MOD表[品质]=E36)*((武器MOD表[类型]=C36)+(武器MOD表[限定]=C36)),0),2))</f>
        <v>不死鸟</v>
      </c>
    </row>
    <row r="37" spans="1:7">
      <c r="A37" t="s">
        <v>711</v>
      </c>
      <c r="B37" s="50" t="s">
        <v>712</v>
      </c>
      <c r="C37" t="s">
        <v>16</v>
      </c>
      <c r="E37" t="s">
        <v>704</v>
      </c>
      <c r="F37">
        <f t="array" ref="F37">SUM(_xlfn.MAP(_xlfn.SEQUENCE(4),_xlfn.LAMBDA(_xlpm.i,POWER(36,4-_xlpm.i)*_xlfn.MAP(MID(代码表[[#This Row],[代码]],_xlpm.i,1),_xlfn.LAMBDA(_xlpm.a,IF(CODE(_xlpm.a)&gt;64,CODE(_xlpm.a)-55,CODE(_xlpm.a)-48))))))</f>
        <v>11007</v>
      </c>
      <c r="G37" s="10" t="str">
        <f t="array" ref="G37">IFERROR(INDEX(角色MOD表[],MATCH(1,(角色MOD表[名称]=A37)*(角色MOD表[品质]=E37)*IF(D37="",1,(角色MOD表[属性]="")+ISNUMBER(FIND(D37,角色MOD表[属性]))),0),2),INDEX(武器MOD表[],MATCH(1,(武器MOD表[名称]=A37)*(武器MOD表[品质]=E37)*((武器MOD表[类型]=C37)+(武器MOD表[限定]=C37)),0),2))</f>
        <v>不死鸟</v>
      </c>
    </row>
    <row r="38" spans="1:7">
      <c r="A38" t="s">
        <v>713</v>
      </c>
      <c r="B38" s="50" t="s">
        <v>714</v>
      </c>
      <c r="C38" t="s">
        <v>140</v>
      </c>
      <c r="D38"/>
      <c r="E38" t="s">
        <v>704</v>
      </c>
      <c r="F38" s="4">
        <f t="array" ref="F38">SUM(_xlfn.MAP(_xlfn.SEQUENCE(4),_xlfn.LAMBDA(_xlpm.i,POWER(36,4-_xlpm.i)*_xlfn.MAP(MID(代码表[[#This Row],[代码]],_xlpm.i,1),_xlfn.LAMBDA(_xlpm.a,IF(CODE(_xlpm.a)&gt;64,CODE(_xlpm.a)-55,CODE(_xlpm.a)-48))))))</f>
        <v>12001</v>
      </c>
      <c r="G38" s="10" t="str">
        <f t="array" ref="G38">IFERROR(INDEX(角色MOD表[],MATCH(1,(角色MOD表[名称]=A38)*(角色MOD表[品质]=E38)*IF(D38="",1,(角色MOD表[属性]="")+ISNUMBER(FIND(D38,角色MOD表[属性]))),0),2),INDEX(武器MOD表[],MATCH(1,(武器MOD表[名称]=A38)*(武器MOD表[品质]=E38)*((武器MOD表[类型]=C38)+(武器MOD表[限定]=C38)),0),2))</f>
        <v>冥犬</v>
      </c>
    </row>
    <row r="39" spans="1:7">
      <c r="A39" t="s">
        <v>177</v>
      </c>
      <c r="B39" s="50" t="s">
        <v>715</v>
      </c>
      <c r="C39" t="s">
        <v>140</v>
      </c>
      <c r="E39" t="s">
        <v>704</v>
      </c>
      <c r="F39" s="4">
        <f t="array" ref="F39">SUM(_xlfn.MAP(_xlfn.SEQUENCE(4),_xlfn.LAMBDA(_xlpm.i,POWER(36,4-_xlpm.i)*_xlfn.MAP(MID(代码表[[#This Row],[代码]],_xlpm.i,1),_xlfn.LAMBDA(_xlpm.a,IF(CODE(_xlpm.a)&gt;64,CODE(_xlpm.a)-55,CODE(_xlpm.a)-48))))))</f>
        <v>12002</v>
      </c>
      <c r="G39" s="10" t="str">
        <f t="array" ref="G39">IFERROR(INDEX(角色MOD表[],MATCH(1,(角色MOD表[名称]=A39)*(角色MOD表[品质]=E39)*IF(D39="",1,(角色MOD表[属性]="")+ISNUMBER(FIND(D39,角色MOD表[属性]))),0),2),INDEX(武器MOD表[],MATCH(1,(武器MOD表[名称]=A39)*(武器MOD表[品质]=E39)*((武器MOD表[类型]=C39)+(武器MOD表[限定]=C39)),0),2))</f>
        <v>冥犬</v>
      </c>
    </row>
    <row r="40" spans="1:7">
      <c r="A40" t="s">
        <v>154</v>
      </c>
      <c r="B40" s="50" t="s">
        <v>716</v>
      </c>
      <c r="C40" t="s">
        <v>140</v>
      </c>
      <c r="E40" t="s">
        <v>704</v>
      </c>
      <c r="F40" s="4">
        <f t="array" ref="F40">SUM(_xlfn.MAP(_xlfn.SEQUENCE(4),_xlfn.LAMBDA(_xlpm.i,POWER(36,4-_xlpm.i)*_xlfn.MAP(MID(代码表[[#This Row],[代码]],_xlpm.i,1),_xlfn.LAMBDA(_xlpm.a,IF(CODE(_xlpm.a)&gt;64,CODE(_xlpm.a)-55,CODE(_xlpm.a)-48))))))</f>
        <v>12003</v>
      </c>
      <c r="G40" s="10" t="str">
        <f t="array" ref="G40">IFERROR(INDEX(角色MOD表[],MATCH(1,(角色MOD表[名称]=A40)*(角色MOD表[品质]=E40)*IF(D40="",1,(角色MOD表[属性]="")+ISNUMBER(FIND(D40,角色MOD表[属性]))),0),2),INDEX(武器MOD表[],MATCH(1,(武器MOD表[名称]=A40)*(武器MOD表[品质]=E40)*((武器MOD表[类型]=C40)+(武器MOD表[限定]=C40)),0),2))</f>
        <v>冥犬</v>
      </c>
    </row>
    <row r="41" spans="1:7">
      <c r="A41" t="s">
        <v>717</v>
      </c>
      <c r="B41" s="50" t="s">
        <v>718</v>
      </c>
      <c r="C41" t="s">
        <v>140</v>
      </c>
      <c r="E41" t="s">
        <v>704</v>
      </c>
      <c r="F41" s="4">
        <f t="array" ref="F41">SUM(_xlfn.MAP(_xlfn.SEQUENCE(4),_xlfn.LAMBDA(_xlpm.i,POWER(36,4-_xlpm.i)*_xlfn.MAP(MID(代码表[[#This Row],[代码]],_xlpm.i,1),_xlfn.LAMBDA(_xlpm.a,IF(CODE(_xlpm.a)&gt;64,CODE(_xlpm.a)-55,CODE(_xlpm.a)-48))))))</f>
        <v>12006</v>
      </c>
      <c r="G41" s="10" t="str">
        <f t="array" ref="G41">IFERROR(INDEX(角色MOD表[],MATCH(1,(角色MOD表[名称]=A41)*(角色MOD表[品质]=E41)*IF(D41="",1,(角色MOD表[属性]="")+ISNUMBER(FIND(D41,角色MOD表[属性]))),0),2),INDEX(武器MOD表[],MATCH(1,(武器MOD表[名称]=A41)*(武器MOD表[品质]=E41)*((武器MOD表[类型]=C41)+(武器MOD表[限定]=C41)),0),2))</f>
        <v>冥犬</v>
      </c>
    </row>
    <row r="42" spans="1:7">
      <c r="A42" t="s">
        <v>155</v>
      </c>
      <c r="B42" s="50" t="s">
        <v>719</v>
      </c>
      <c r="C42" t="s">
        <v>140</v>
      </c>
      <c r="E42" t="s">
        <v>704</v>
      </c>
      <c r="F42" s="4">
        <f t="array" ref="F42">SUM(_xlfn.MAP(_xlfn.SEQUENCE(4),_xlfn.LAMBDA(_xlpm.i,POWER(36,4-_xlpm.i)*_xlfn.MAP(MID(代码表[[#This Row],[代码]],_xlpm.i,1),_xlfn.LAMBDA(_xlpm.a,IF(CODE(_xlpm.a)&gt;64,CODE(_xlpm.a)-55,CODE(_xlpm.a)-48))))))</f>
        <v>12101</v>
      </c>
      <c r="G42" s="10" t="str">
        <f t="array" ref="G42">IFERROR(INDEX(角色MOD表[],MATCH(1,(角色MOD表[名称]=A42)*(角色MOD表[品质]=E42)*IF(D42="",1,(角色MOD表[属性]="")+ISNUMBER(FIND(D42,角色MOD表[属性]))),0),2),INDEX(武器MOD表[],MATCH(1,(武器MOD表[名称]=A42)*(武器MOD表[品质]=E42)*((武器MOD表[类型]=C42)+(武器MOD表[限定]=C42)),0),2))</f>
        <v>冥犬</v>
      </c>
    </row>
    <row r="43" spans="1:7">
      <c r="A43" t="s">
        <v>720</v>
      </c>
      <c r="B43" s="50" t="s">
        <v>721</v>
      </c>
      <c r="C43" t="s">
        <v>140</v>
      </c>
      <c r="E43" t="s">
        <v>704</v>
      </c>
      <c r="F43" s="4">
        <f t="array" ref="F43">SUM(_xlfn.MAP(_xlfn.SEQUENCE(4),_xlfn.LAMBDA(_xlpm.i,POWER(36,4-_xlpm.i)*_xlfn.MAP(MID(代码表[[#This Row],[代码]],_xlpm.i,1),_xlfn.LAMBDA(_xlpm.a,IF(CODE(_xlpm.a)&gt;64,CODE(_xlpm.a)-55,CODE(_xlpm.a)-48))))))</f>
        <v>12102</v>
      </c>
      <c r="G43" s="10" t="str">
        <f t="array" ref="G43">IFERROR(INDEX(角色MOD表[],MATCH(1,(角色MOD表[名称]=A43)*(角色MOD表[品质]=E43)*IF(D43="",1,(角色MOD表[属性]="")+ISNUMBER(FIND(D43,角色MOD表[属性]))),0),2),INDEX(武器MOD表[],MATCH(1,(武器MOD表[名称]=A43)*(武器MOD表[品质]=E43)*((武器MOD表[类型]=C43)+(武器MOD表[限定]=C43)),0),2))</f>
        <v>冥犬</v>
      </c>
    </row>
    <row r="44" spans="1:7">
      <c r="A44" t="s">
        <v>722</v>
      </c>
      <c r="B44" s="50" t="s">
        <v>723</v>
      </c>
      <c r="C44" t="s">
        <v>140</v>
      </c>
      <c r="E44" t="s">
        <v>704</v>
      </c>
      <c r="F44" s="4">
        <f t="array" ref="F44">SUM(_xlfn.MAP(_xlfn.SEQUENCE(4),_xlfn.LAMBDA(_xlpm.i,POWER(36,4-_xlpm.i)*_xlfn.MAP(MID(代码表[[#This Row],[代码]],_xlpm.i,1),_xlfn.LAMBDA(_xlpm.a,IF(CODE(_xlpm.a)&gt;64,CODE(_xlpm.a)-55,CODE(_xlpm.a)-48))))))</f>
        <v>12103</v>
      </c>
      <c r="G44" s="10" t="str">
        <f t="array" ref="G44">IFERROR(INDEX(角色MOD表[],MATCH(1,(角色MOD表[名称]=A44)*(角色MOD表[品质]=E44)*IF(D44="",1,(角色MOD表[属性]="")+ISNUMBER(FIND(D44,角色MOD表[属性]))),0),2),INDEX(武器MOD表[],MATCH(1,(武器MOD表[名称]=A44)*(武器MOD表[品质]=E44)*((武器MOD表[类型]=C44)+(武器MOD表[限定]=C44)),0),2))</f>
        <v>冥犬</v>
      </c>
    </row>
    <row r="45" spans="1:7">
      <c r="A45" t="s">
        <v>713</v>
      </c>
      <c r="B45" s="50" t="s">
        <v>724</v>
      </c>
      <c r="C45" t="s">
        <v>170</v>
      </c>
      <c r="D45"/>
      <c r="E45" t="s">
        <v>704</v>
      </c>
      <c r="F45" s="4">
        <f t="array" ref="F45">SUM(_xlfn.MAP(_xlfn.SEQUENCE(4),_xlfn.LAMBDA(_xlpm.i,POWER(36,4-_xlpm.i)*_xlfn.MAP(MID(代码表[[#This Row],[代码]],_xlpm.i,1),_xlfn.LAMBDA(_xlpm.a,IF(CODE(_xlpm.a)&gt;64,CODE(_xlpm.a)-55,CODE(_xlpm.a)-48))))))</f>
        <v>13001</v>
      </c>
      <c r="G45" s="10" t="str">
        <f t="array" ref="G45">IFERROR(INDEX(角色MOD表[],MATCH(1,(角色MOD表[名称]=A45)*(角色MOD表[品质]=E45)*IF(D45="",1,(角色MOD表[属性]="")+ISNUMBER(FIND(D45,角色MOD表[属性]))),0),2),INDEX(武器MOD表[],MATCH(1,(武器MOD表[名称]=A45)*(武器MOD表[品质]=E45)*((武器MOD表[类型]=C45)+(武器MOD表[限定]=C45)),0),2))</f>
        <v>夜魔</v>
      </c>
    </row>
    <row r="46" spans="1:7">
      <c r="A46" t="s">
        <v>177</v>
      </c>
      <c r="B46" s="50" t="s">
        <v>725</v>
      </c>
      <c r="C46" t="s">
        <v>170</v>
      </c>
      <c r="E46" t="s">
        <v>704</v>
      </c>
      <c r="F46" s="4">
        <f t="array" ref="F46">SUM(_xlfn.MAP(_xlfn.SEQUENCE(4),_xlfn.LAMBDA(_xlpm.i,POWER(36,4-_xlpm.i)*_xlfn.MAP(MID(代码表[[#This Row],[代码]],_xlpm.i,1),_xlfn.LAMBDA(_xlpm.a,IF(CODE(_xlpm.a)&gt;64,CODE(_xlpm.a)-55,CODE(_xlpm.a)-48))))))</f>
        <v>13002</v>
      </c>
      <c r="G46" s="10" t="str">
        <f t="array" ref="G46">IFERROR(INDEX(角色MOD表[],MATCH(1,(角色MOD表[名称]=A46)*(角色MOD表[品质]=E46)*IF(D46="",1,(角色MOD表[属性]="")+ISNUMBER(FIND(D46,角色MOD表[属性]))),0),2),INDEX(武器MOD表[],MATCH(1,(武器MOD表[名称]=A46)*(武器MOD表[品质]=E46)*((武器MOD表[类型]=C46)+(武器MOD表[限定]=C46)),0),2))</f>
        <v>夜魔</v>
      </c>
    </row>
    <row r="47" spans="1:7">
      <c r="A47" t="s">
        <v>154</v>
      </c>
      <c r="B47" s="50" t="s">
        <v>726</v>
      </c>
      <c r="C47" t="s">
        <v>170</v>
      </c>
      <c r="D47"/>
      <c r="E47" t="s">
        <v>704</v>
      </c>
      <c r="F47" s="4">
        <f t="array" ref="F47">SUM(_xlfn.MAP(_xlfn.SEQUENCE(4),_xlfn.LAMBDA(_xlpm.i,POWER(36,4-_xlpm.i)*_xlfn.MAP(MID(代码表[[#This Row],[代码]],_xlpm.i,1),_xlfn.LAMBDA(_xlpm.a,IF(CODE(_xlpm.a)&gt;64,CODE(_xlpm.a)-55,CODE(_xlpm.a)-48))))))</f>
        <v>13003</v>
      </c>
      <c r="G47" s="10" t="str">
        <f t="array" ref="G47">IFERROR(INDEX(角色MOD表[],MATCH(1,(角色MOD表[名称]=A47)*(角色MOD表[品质]=E47)*IF(D47="",1,(角色MOD表[属性]="")+ISNUMBER(FIND(D47,角色MOD表[属性]))),0),2),INDEX(武器MOD表[],MATCH(1,(武器MOD表[名称]=A47)*(武器MOD表[品质]=E47)*((武器MOD表[类型]=C47)+(武器MOD表[限定]=C47)),0),2))</f>
        <v>夜魔</v>
      </c>
    </row>
    <row r="48" spans="1:7">
      <c r="A48" t="s">
        <v>717</v>
      </c>
      <c r="B48" s="50" t="s">
        <v>727</v>
      </c>
      <c r="C48" t="s">
        <v>170</v>
      </c>
      <c r="E48" t="s">
        <v>704</v>
      </c>
      <c r="F48" s="4">
        <f t="array" ref="F48">SUM(_xlfn.MAP(_xlfn.SEQUENCE(4),_xlfn.LAMBDA(_xlpm.i,POWER(36,4-_xlpm.i)*_xlfn.MAP(MID(代码表[[#This Row],[代码]],_xlpm.i,1),_xlfn.LAMBDA(_xlpm.a,IF(CODE(_xlpm.a)&gt;64,CODE(_xlpm.a)-55,CODE(_xlpm.a)-48))))))</f>
        <v>13006</v>
      </c>
      <c r="G48" s="10" t="str">
        <f t="array" ref="G48">IFERROR(INDEX(角色MOD表[],MATCH(1,(角色MOD表[名称]=A48)*(角色MOD表[品质]=E48)*IF(D48="",1,(角色MOD表[属性]="")+ISNUMBER(FIND(D48,角色MOD表[属性]))),0),2),INDEX(武器MOD表[],MATCH(1,(武器MOD表[名称]=A48)*(武器MOD表[品质]=E48)*((武器MOD表[类型]=C48)+(武器MOD表[限定]=C48)),0),2))</f>
        <v>夜魔</v>
      </c>
    </row>
    <row r="49" spans="1:7">
      <c r="A49" t="s">
        <v>155</v>
      </c>
      <c r="B49" s="50" t="s">
        <v>728</v>
      </c>
      <c r="C49" t="s">
        <v>170</v>
      </c>
      <c r="D49"/>
      <c r="E49" t="s">
        <v>704</v>
      </c>
      <c r="F49" s="4">
        <f t="array" ref="F49">SUM(_xlfn.MAP(_xlfn.SEQUENCE(4),_xlfn.LAMBDA(_xlpm.i,POWER(36,4-_xlpm.i)*_xlfn.MAP(MID(代码表[[#This Row],[代码]],_xlpm.i,1),_xlfn.LAMBDA(_xlpm.a,IF(CODE(_xlpm.a)&gt;64,CODE(_xlpm.a)-55,CODE(_xlpm.a)-48))))))</f>
        <v>13101</v>
      </c>
      <c r="G49" s="10" t="str">
        <f t="array" ref="G49">IFERROR(INDEX(角色MOD表[],MATCH(1,(角色MOD表[名称]=A49)*(角色MOD表[品质]=E49)*IF(D49="",1,(角色MOD表[属性]="")+ISNUMBER(FIND(D49,角色MOD表[属性]))),0),2),INDEX(武器MOD表[],MATCH(1,(武器MOD表[名称]=A49)*(武器MOD表[品质]=E49)*((武器MOD表[类型]=C49)+(武器MOD表[限定]=C49)),0),2))</f>
        <v>夜魔</v>
      </c>
    </row>
    <row r="50" spans="1:7">
      <c r="A50" t="s">
        <v>720</v>
      </c>
      <c r="B50" s="50" t="s">
        <v>729</v>
      </c>
      <c r="C50" t="s">
        <v>170</v>
      </c>
      <c r="E50" t="s">
        <v>704</v>
      </c>
      <c r="F50" s="4">
        <f t="array" ref="F50">SUM(_xlfn.MAP(_xlfn.SEQUENCE(4),_xlfn.LAMBDA(_xlpm.i,POWER(36,4-_xlpm.i)*_xlfn.MAP(MID(代码表[[#This Row],[代码]],_xlpm.i,1),_xlfn.LAMBDA(_xlpm.a,IF(CODE(_xlpm.a)&gt;64,CODE(_xlpm.a)-55,CODE(_xlpm.a)-48))))))</f>
        <v>13102</v>
      </c>
      <c r="G50" s="10" t="str">
        <f t="array" ref="G50">IFERROR(INDEX(角色MOD表[],MATCH(1,(角色MOD表[名称]=A50)*(角色MOD表[品质]=E50)*IF(D50="",1,(角色MOD表[属性]="")+ISNUMBER(FIND(D50,角色MOD表[属性]))),0),2),INDEX(武器MOD表[],MATCH(1,(武器MOD表[名称]=A50)*(武器MOD表[品质]=E50)*((武器MOD表[类型]=C50)+(武器MOD表[限定]=C50)),0),2))</f>
        <v>夜魔</v>
      </c>
    </row>
    <row r="51" spans="1:7">
      <c r="A51" t="s">
        <v>722</v>
      </c>
      <c r="B51" s="50" t="s">
        <v>730</v>
      </c>
      <c r="C51" t="s">
        <v>170</v>
      </c>
      <c r="D51"/>
      <c r="E51" t="s">
        <v>704</v>
      </c>
      <c r="F51" s="4">
        <f t="array" ref="F51">SUM(_xlfn.MAP(_xlfn.SEQUENCE(4),_xlfn.LAMBDA(_xlpm.i,POWER(36,4-_xlpm.i)*_xlfn.MAP(MID(代码表[[#This Row],[代码]],_xlpm.i,1),_xlfn.LAMBDA(_xlpm.a,IF(CODE(_xlpm.a)&gt;64,CODE(_xlpm.a)-55,CODE(_xlpm.a)-48))))))</f>
        <v>13103</v>
      </c>
      <c r="G51" s="10" t="str">
        <f t="array" ref="G51">IFERROR(INDEX(角色MOD表[],MATCH(1,(角色MOD表[名称]=A51)*(角色MOD表[品质]=E51)*IF(D51="",1,(角色MOD表[属性]="")+ISNUMBER(FIND(D51,角色MOD表[属性]))),0),2),INDEX(武器MOD表[],MATCH(1,(武器MOD表[名称]=A51)*(武器MOD表[品质]=E51)*((武器MOD表[类型]=C51)+(武器MOD表[限定]=C51)),0),2))</f>
        <v>夜魔</v>
      </c>
    </row>
    <row r="52" spans="1:7">
      <c r="A52" t="s">
        <v>713</v>
      </c>
      <c r="B52" s="50" t="s">
        <v>731</v>
      </c>
      <c r="C52" t="s">
        <v>732</v>
      </c>
      <c r="E52" s="9" t="s">
        <v>704</v>
      </c>
      <c r="F52" s="4">
        <f>SUM(_xlfn.MAP(_xlfn.SEQUENCE(4),_xlfn.LAMBDA(_xlpm.i,POWER(36,4-_xlpm.i)*_xlfn.MAP(MID(代码表[[#This Row],[代码]],_xlpm.i,1),_xlfn.LAMBDA(_xlpm.a,IF(CODE(_xlpm.a)&gt;64,CODE(_xlpm.a)-55,CODE(_xlpm.a)-48))))))</f>
        <v>14001</v>
      </c>
      <c r="G52" s="10" t="str">
        <f t="array" ref="G52">IFERROR(INDEX(角色MOD表[],MATCH(1,(角色MOD表[名称]=A52)*(角色MOD表[品质]=E52)*IF(D52="",1,(角色MOD表[属性]="")+ISNUMBER(FIND(D52,角色MOD表[属性]))),0),2),INDEX(武器MOD表[],MATCH(1,(武器MOD表[名称]=A52)*(武器MOD表[品质]=E52)*((武器MOD表[类型]=C52)+(武器MOD表[限定]=C52)),0),2))</f>
        <v>异化冥犬</v>
      </c>
    </row>
    <row r="53" spans="1:7">
      <c r="A53" t="s">
        <v>177</v>
      </c>
      <c r="B53" s="50" t="s">
        <v>733</v>
      </c>
      <c r="C53" t="s">
        <v>732</v>
      </c>
      <c r="E53" s="9" t="s">
        <v>704</v>
      </c>
      <c r="F53" s="4">
        <f>SUM(_xlfn.MAP(_xlfn.SEQUENCE(4),_xlfn.LAMBDA(_xlpm.i,POWER(36,4-_xlpm.i)*_xlfn.MAP(MID(代码表[[#This Row],[代码]],_xlpm.i,1),_xlfn.LAMBDA(_xlpm.a,IF(CODE(_xlpm.a)&gt;64,CODE(_xlpm.a)-55,CODE(_xlpm.a)-48))))))</f>
        <v>14002</v>
      </c>
      <c r="G53" s="10" t="str">
        <f t="array" ref="G53">IFERROR(INDEX(角色MOD表[],MATCH(1,(角色MOD表[名称]=A53)*(角色MOD表[品质]=E53)*IF(D53="",1,(角色MOD表[属性]="")+ISNUMBER(FIND(D53,角色MOD表[属性]))),0),2),INDEX(武器MOD表[],MATCH(1,(武器MOD表[名称]=A53)*(武器MOD表[品质]=E53)*((武器MOD表[类型]=C53)+(武器MOD表[限定]=C53)),0),2))</f>
        <v>异化冥犬</v>
      </c>
    </row>
    <row r="54" spans="1:7">
      <c r="A54" t="s">
        <v>154</v>
      </c>
      <c r="B54" s="50" t="s">
        <v>734</v>
      </c>
      <c r="C54" t="s">
        <v>732</v>
      </c>
      <c r="E54" s="9" t="s">
        <v>704</v>
      </c>
      <c r="F54" s="4">
        <f>SUM(_xlfn.MAP(_xlfn.SEQUENCE(4),_xlfn.LAMBDA(_xlpm.i,POWER(36,4-_xlpm.i)*_xlfn.MAP(MID(代码表[[#This Row],[代码]],_xlpm.i,1),_xlfn.LAMBDA(_xlpm.a,IF(CODE(_xlpm.a)&gt;64,CODE(_xlpm.a)-55,CODE(_xlpm.a)-48))))))</f>
        <v>14003</v>
      </c>
      <c r="G54" s="10" t="str">
        <f t="array" ref="G54">IFERROR(INDEX(角色MOD表[],MATCH(1,(角色MOD表[名称]=A54)*(角色MOD表[品质]=E54)*IF(D54="",1,(角色MOD表[属性]="")+ISNUMBER(FIND(D54,角色MOD表[属性]))),0),2),INDEX(武器MOD表[],MATCH(1,(武器MOD表[名称]=A54)*(武器MOD表[品质]=E54)*((武器MOD表[类型]=C54)+(武器MOD表[限定]=C54)),0),2))</f>
        <v>异化冥犬</v>
      </c>
    </row>
    <row r="55" spans="1:7">
      <c r="A55" t="s">
        <v>153</v>
      </c>
      <c r="B55" s="50" t="s">
        <v>735</v>
      </c>
      <c r="C55" t="s">
        <v>732</v>
      </c>
      <c r="E55" s="9" t="s">
        <v>704</v>
      </c>
      <c r="F55" s="4">
        <f>SUM(_xlfn.MAP(_xlfn.SEQUENCE(4),_xlfn.LAMBDA(_xlpm.i,POWER(36,4-_xlpm.i)*_xlfn.MAP(MID(代码表[[#This Row],[代码]],_xlpm.i,1),_xlfn.LAMBDA(_xlpm.a,IF(CODE(_xlpm.a)&gt;64,CODE(_xlpm.a)-55,CODE(_xlpm.a)-48))))))</f>
        <v>14004</v>
      </c>
      <c r="G55" s="10" t="str">
        <f t="array" ref="G55">IFERROR(INDEX(角色MOD表[],MATCH(1,(角色MOD表[名称]=A55)*(角色MOD表[品质]=E55)*IF(D55="",1,(角色MOD表[属性]="")+ISNUMBER(FIND(D55,角色MOD表[属性]))),0),2),INDEX(武器MOD表[],MATCH(1,(武器MOD表[名称]=A55)*(武器MOD表[品质]=E55)*((武器MOD表[类型]=C55)+(武器MOD表[限定]=C55)),0),2))</f>
        <v>异化冥犬</v>
      </c>
    </row>
    <row r="56" spans="1:7">
      <c r="A56" t="s">
        <v>717</v>
      </c>
      <c r="B56" s="50" t="s">
        <v>736</v>
      </c>
      <c r="C56" t="s">
        <v>732</v>
      </c>
      <c r="E56" s="9" t="s">
        <v>704</v>
      </c>
      <c r="F56" s="4">
        <f>SUM(_xlfn.MAP(_xlfn.SEQUENCE(4),_xlfn.LAMBDA(_xlpm.i,POWER(36,4-_xlpm.i)*_xlfn.MAP(MID(代码表[[#This Row],[代码]],_xlpm.i,1),_xlfn.LAMBDA(_xlpm.a,IF(CODE(_xlpm.a)&gt;64,CODE(_xlpm.a)-55,CODE(_xlpm.a)-48))))))</f>
        <v>14006</v>
      </c>
      <c r="G56" s="10" t="str">
        <f t="array" ref="G56">IFERROR(INDEX(角色MOD表[],MATCH(1,(角色MOD表[名称]=A56)*(角色MOD表[品质]=E56)*IF(D56="",1,(角色MOD表[属性]="")+ISNUMBER(FIND(D56,角色MOD表[属性]))),0),2),INDEX(武器MOD表[],MATCH(1,(武器MOD表[名称]=A56)*(武器MOD表[品质]=E56)*((武器MOD表[类型]=C56)+(武器MOD表[限定]=C56)),0),2))</f>
        <v>异化冥犬</v>
      </c>
    </row>
    <row r="57" spans="1:7">
      <c r="A57" t="s">
        <v>713</v>
      </c>
      <c r="B57" s="50" t="s">
        <v>737</v>
      </c>
      <c r="C57" t="s">
        <v>738</v>
      </c>
      <c r="E57" s="9" t="s">
        <v>704</v>
      </c>
      <c r="F57" s="4">
        <f>SUM(_xlfn.MAP(_xlfn.SEQUENCE(4),_xlfn.LAMBDA(_xlpm.i,POWER(36,4-_xlpm.i)*_xlfn.MAP(MID(代码表[[#This Row],[代码]],_xlpm.i,1),_xlfn.LAMBDA(_xlpm.a,IF(CODE(_xlpm.a)&gt;64,CODE(_xlpm.a)-55,CODE(_xlpm.a)-48))))))</f>
        <v>15001</v>
      </c>
      <c r="G57" s="10" t="str">
        <f t="array" ref="G57">IFERROR(INDEX(角色MOD表[],MATCH(1,(角色MOD表[名称]=A57)*(角色MOD表[品质]=E57)*IF(D57="",1,(角色MOD表[属性]="")+ISNUMBER(FIND(D57,角色MOD表[属性]))),0),2),INDEX(武器MOD表[],MATCH(1,(武器MOD表[名称]=A57)*(武器MOD表[品质]=E57)*((武器MOD表[类型]=C57)+(武器MOD表[限定]=C57)),0),2))</f>
        <v>异化夜魔</v>
      </c>
    </row>
    <row r="58" spans="1:7">
      <c r="A58" t="s">
        <v>177</v>
      </c>
      <c r="B58" s="50" t="s">
        <v>739</v>
      </c>
      <c r="C58" t="s">
        <v>738</v>
      </c>
      <c r="E58" s="9" t="s">
        <v>704</v>
      </c>
      <c r="F58" s="4">
        <f>SUM(_xlfn.MAP(_xlfn.SEQUENCE(4),_xlfn.LAMBDA(_xlpm.i,POWER(36,4-_xlpm.i)*_xlfn.MAP(MID(代码表[[#This Row],[代码]],_xlpm.i,1),_xlfn.LAMBDA(_xlpm.a,IF(CODE(_xlpm.a)&gt;64,CODE(_xlpm.a)-55,CODE(_xlpm.a)-48))))))</f>
        <v>15002</v>
      </c>
      <c r="G58" s="10" t="str">
        <f t="array" ref="G58">IFERROR(INDEX(角色MOD表[],MATCH(1,(角色MOD表[名称]=A58)*(角色MOD表[品质]=E58)*IF(D58="",1,(角色MOD表[属性]="")+ISNUMBER(FIND(D58,角色MOD表[属性]))),0),2),INDEX(武器MOD表[],MATCH(1,(武器MOD表[名称]=A58)*(武器MOD表[品质]=E58)*((武器MOD表[类型]=C58)+(武器MOD表[限定]=C58)),0),2))</f>
        <v>异化夜魔</v>
      </c>
    </row>
    <row r="59" spans="1:7">
      <c r="A59" t="s">
        <v>154</v>
      </c>
      <c r="B59" s="50" t="s">
        <v>740</v>
      </c>
      <c r="C59" t="s">
        <v>738</v>
      </c>
      <c r="E59" s="9" t="s">
        <v>704</v>
      </c>
      <c r="F59" s="4">
        <f>SUM(_xlfn.MAP(_xlfn.SEQUENCE(4),_xlfn.LAMBDA(_xlpm.i,POWER(36,4-_xlpm.i)*_xlfn.MAP(MID(代码表[[#This Row],[代码]],_xlpm.i,1),_xlfn.LAMBDA(_xlpm.a,IF(CODE(_xlpm.a)&gt;64,CODE(_xlpm.a)-55,CODE(_xlpm.a)-48))))))</f>
        <v>15003</v>
      </c>
      <c r="G59" s="10" t="str">
        <f t="array" ref="G59">IFERROR(INDEX(角色MOD表[],MATCH(1,(角色MOD表[名称]=A59)*(角色MOD表[品质]=E59)*IF(D59="",1,(角色MOD表[属性]="")+ISNUMBER(FIND(D59,角色MOD表[属性]))),0),2),INDEX(武器MOD表[],MATCH(1,(武器MOD表[名称]=A59)*(武器MOD表[品质]=E59)*((武器MOD表[类型]=C59)+(武器MOD表[限定]=C59)),0),2))</f>
        <v>异化夜魔</v>
      </c>
    </row>
    <row r="60" spans="1:7">
      <c r="A60" t="s">
        <v>153</v>
      </c>
      <c r="B60" s="50" t="s">
        <v>741</v>
      </c>
      <c r="C60" t="s">
        <v>738</v>
      </c>
      <c r="E60" s="9" t="s">
        <v>704</v>
      </c>
      <c r="F60" s="4">
        <f>SUM(_xlfn.MAP(_xlfn.SEQUENCE(4),_xlfn.LAMBDA(_xlpm.i,POWER(36,4-_xlpm.i)*_xlfn.MAP(MID(代码表[[#This Row],[代码]],_xlpm.i,1),_xlfn.LAMBDA(_xlpm.a,IF(CODE(_xlpm.a)&gt;64,CODE(_xlpm.a)-55,CODE(_xlpm.a)-48))))))</f>
        <v>15004</v>
      </c>
      <c r="G60" s="10" t="str">
        <f t="array" ref="G60">IFERROR(INDEX(角色MOD表[],MATCH(1,(角色MOD表[名称]=A60)*(角色MOD表[品质]=E60)*IF(D60="",1,(角色MOD表[属性]="")+ISNUMBER(FIND(D60,角色MOD表[属性]))),0),2),INDEX(武器MOD表[],MATCH(1,(武器MOD表[名称]=A60)*(武器MOD表[品质]=E60)*((武器MOD表[类型]=C60)+(武器MOD表[限定]=C60)),0),2))</f>
        <v>异化夜魔</v>
      </c>
    </row>
    <row r="61" spans="1:7">
      <c r="A61" t="s">
        <v>717</v>
      </c>
      <c r="B61" s="50" t="s">
        <v>742</v>
      </c>
      <c r="C61" t="s">
        <v>738</v>
      </c>
      <c r="E61" s="9" t="s">
        <v>704</v>
      </c>
      <c r="F61" s="4">
        <f>SUM(_xlfn.MAP(_xlfn.SEQUENCE(4),_xlfn.LAMBDA(_xlpm.i,POWER(36,4-_xlpm.i)*_xlfn.MAP(MID(代码表[[#This Row],[代码]],_xlpm.i,1),_xlfn.LAMBDA(_xlpm.a,IF(CODE(_xlpm.a)&gt;64,CODE(_xlpm.a)-55,CODE(_xlpm.a)-48))))))</f>
        <v>15006</v>
      </c>
      <c r="G61" s="10" t="str">
        <f t="array" ref="G61">IFERROR(INDEX(角色MOD表[],MATCH(1,(角色MOD表[名称]=A61)*(角色MOD表[品质]=E61)*IF(D61="",1,(角色MOD表[属性]="")+ISNUMBER(FIND(D61,角色MOD表[属性]))),0),2),INDEX(武器MOD表[],MATCH(1,(武器MOD表[名称]=A61)*(武器MOD表[品质]=E61)*((武器MOD表[类型]=C61)+(武器MOD表[限定]=C61)),0),2))</f>
        <v>异化夜魔</v>
      </c>
    </row>
    <row r="62" spans="1:7">
      <c r="A62" t="s">
        <v>743</v>
      </c>
      <c r="B62" s="50" t="s">
        <v>744</v>
      </c>
      <c r="F62" s="4">
        <f t="array" ref="F62">SUM(_xlfn.MAP(_xlfn.SEQUENCE(4),_xlfn.LAMBDA(_xlpm.i,POWER(36,4-_xlpm.i)*_xlfn.MAP(MID(代码表[[#This Row],[代码]],_xlpm.i,1),_xlfn.LAMBDA(_xlpm.a,IF(CODE(_xlpm.a)&gt;64,CODE(_xlpm.a)-55,CODE(_xlpm.a)-48))))))</f>
        <v>20101</v>
      </c>
      <c r="G62" s="10" t="e">
        <f t="array" ref="G62">IFERROR(INDEX(角色MOD表[],MATCH(1,(角色MOD表[名称]=A62)*(角色MOD表[品质]=E62)*IF(D62="",1,(角色MOD表[属性]="")+ISNUMBER(FIND(D62,角色MOD表[属性]))),0),2),INDEX(武器MOD表[],MATCH(1,(武器MOD表[名称]=A62)*(武器MOD表[品质]=E62)*((武器MOD表[类型]=C62)+(武器MOD表[限定]=C62)),0),2))</f>
        <v>#N/A</v>
      </c>
    </row>
    <row r="63" spans="1:7">
      <c r="A63" t="s">
        <v>171</v>
      </c>
      <c r="B63" s="50" t="s">
        <v>745</v>
      </c>
      <c r="F63" s="4">
        <f t="array" ref="F63">SUM(_xlfn.MAP(_xlfn.SEQUENCE(4),_xlfn.LAMBDA(_xlpm.i,POWER(36,4-_xlpm.i)*_xlfn.MAP(MID(代码表[[#This Row],[代码]],_xlpm.i,1),_xlfn.LAMBDA(_xlpm.a,IF(CODE(_xlpm.a)&gt;64,CODE(_xlpm.a)-55,CODE(_xlpm.a)-48))))))</f>
        <v>20102</v>
      </c>
      <c r="G63" s="10" t="e">
        <f t="array" ref="G63">IFERROR(INDEX(角色MOD表[],MATCH(1,(角色MOD表[名称]=A63)*(角色MOD表[品质]=E63)*IF(D63="",1,(角色MOD表[属性]="")+ISNUMBER(FIND(D63,角色MOD表[属性]))),0),2),INDEX(武器MOD表[],MATCH(1,(武器MOD表[名称]=A63)*(武器MOD表[品质]=E63)*((武器MOD表[类型]=C63)+(武器MOD表[限定]=C63)),0),2))</f>
        <v>#N/A</v>
      </c>
    </row>
    <row r="64" spans="1:7">
      <c r="A64" t="s">
        <v>746</v>
      </c>
      <c r="B64" s="50" t="s">
        <v>747</v>
      </c>
      <c r="F64" s="4">
        <f t="array" ref="F64">SUM(_xlfn.MAP(_xlfn.SEQUENCE(4),_xlfn.LAMBDA(_xlpm.i,POWER(36,4-_xlpm.i)*_xlfn.MAP(MID(代码表[[#This Row],[代码]],_xlpm.i,1),_xlfn.LAMBDA(_xlpm.a,IF(CODE(_xlpm.a)&gt;64,CODE(_xlpm.a)-55,CODE(_xlpm.a)-48))))))</f>
        <v>20201</v>
      </c>
      <c r="G64" s="10" t="e">
        <f t="array" ref="G64">IFERROR(INDEX(角色MOD表[],MATCH(1,(角色MOD表[名称]=A64)*(角色MOD表[品质]=E64)*IF(D64="",1,(角色MOD表[属性]="")+ISNUMBER(FIND(D64,角色MOD表[属性]))),0),2),INDEX(武器MOD表[],MATCH(1,(武器MOD表[名称]=A64)*(武器MOD表[品质]=E64)*((武器MOD表[类型]=C64)+(武器MOD表[限定]=C64)),0),2))</f>
        <v>#N/A</v>
      </c>
    </row>
    <row r="65" spans="1:7">
      <c r="A65" t="s">
        <v>748</v>
      </c>
      <c r="B65" s="50" t="s">
        <v>749</v>
      </c>
      <c r="F65" s="4">
        <f t="array" ref="F65">SUM(_xlfn.MAP(_xlfn.SEQUENCE(4),_xlfn.LAMBDA(_xlpm.i,POWER(36,4-_xlpm.i)*_xlfn.MAP(MID(代码表[[#This Row],[代码]],_xlpm.i,1),_xlfn.LAMBDA(_xlpm.a,IF(CODE(_xlpm.a)&gt;64,CODE(_xlpm.a)-55,CODE(_xlpm.a)-48))))))</f>
        <v>20203</v>
      </c>
      <c r="G65" s="10" t="e">
        <f t="array" ref="G65">IFERROR(INDEX(角色MOD表[],MATCH(1,(角色MOD表[名称]=A65)*(角色MOD表[品质]=E65)*IF(D65="",1,(角色MOD表[属性]="")+ISNUMBER(FIND(D65,角色MOD表[属性]))),0),2),INDEX(武器MOD表[],MATCH(1,(武器MOD表[名称]=A65)*(武器MOD表[品质]=E65)*((武器MOD表[类型]=C65)+(武器MOD表[限定]=C65)),0),2))</f>
        <v>#N/A</v>
      </c>
    </row>
    <row r="66" spans="1:7">
      <c r="A66" t="s">
        <v>750</v>
      </c>
      <c r="B66" s="50" t="s">
        <v>751</v>
      </c>
      <c r="F66" s="4">
        <f t="array" ref="F66">SUM(_xlfn.MAP(_xlfn.SEQUENCE(4),_xlfn.LAMBDA(_xlpm.i,POWER(36,4-_xlpm.i)*_xlfn.MAP(MID(代码表[[#This Row],[代码]],_xlpm.i,1),_xlfn.LAMBDA(_xlpm.a,IF(CODE(_xlpm.a)&gt;64,CODE(_xlpm.a)-55,CODE(_xlpm.a)-48))))))</f>
        <v>20301</v>
      </c>
      <c r="G66" s="10" t="e">
        <f t="array" ref="G66">IFERROR(INDEX(角色MOD表[],MATCH(1,(角色MOD表[名称]=A66)*(角色MOD表[品质]=E66)*IF(D66="",1,(角色MOD表[属性]="")+ISNUMBER(FIND(D66,角色MOD表[属性]))),0),2),INDEX(武器MOD表[],MATCH(1,(武器MOD表[名称]=A66)*(武器MOD表[品质]=E66)*((武器MOD表[类型]=C66)+(武器MOD表[限定]=C66)),0),2))</f>
        <v>#N/A</v>
      </c>
    </row>
    <row r="67" spans="1:7">
      <c r="A67" t="s">
        <v>752</v>
      </c>
      <c r="B67" s="50" t="s">
        <v>753</v>
      </c>
      <c r="F67" s="4">
        <f t="array" ref="F67">SUM(_xlfn.MAP(_xlfn.SEQUENCE(4),_xlfn.LAMBDA(_xlpm.i,POWER(36,4-_xlpm.i)*_xlfn.MAP(MID(代码表[[#This Row],[代码]],_xlpm.i,1),_xlfn.LAMBDA(_xlpm.a,IF(CODE(_xlpm.a)&gt;64,CODE(_xlpm.a)-55,CODE(_xlpm.a)-48))))))</f>
        <v>20303</v>
      </c>
      <c r="G67" s="10" t="e">
        <f t="array" ref="G67">IFERROR(INDEX(角色MOD表[],MATCH(1,(角色MOD表[名称]=A67)*(角色MOD表[品质]=E67)*IF(D67="",1,(角色MOD表[属性]="")+ISNUMBER(FIND(D67,角色MOD表[属性]))),0),2),INDEX(武器MOD表[],MATCH(1,(武器MOD表[名称]=A67)*(武器MOD表[品质]=E67)*((武器MOD表[类型]=C67)+(武器MOD表[限定]=C67)),0),2))</f>
        <v>#N/A</v>
      </c>
    </row>
    <row r="68" spans="1:7">
      <c r="A68" t="s">
        <v>754</v>
      </c>
      <c r="B68" s="50" t="s">
        <v>755</v>
      </c>
      <c r="F68" s="4">
        <f t="array" ref="F68">SUM(_xlfn.MAP(_xlfn.SEQUENCE(4),_xlfn.LAMBDA(_xlpm.i,POWER(36,4-_xlpm.i)*_xlfn.MAP(MID(代码表[[#This Row],[代码]],_xlpm.i,1),_xlfn.LAMBDA(_xlpm.a,IF(CODE(_xlpm.a)&gt;64,CODE(_xlpm.a)-55,CODE(_xlpm.a)-48))))))</f>
        <v>20304</v>
      </c>
      <c r="G68" s="10" t="e">
        <f t="array" ref="G68">IFERROR(INDEX(角色MOD表[],MATCH(1,(角色MOD表[名称]=A68)*(角色MOD表[品质]=E68)*IF(D68="",1,(角色MOD表[属性]="")+ISNUMBER(FIND(D68,角色MOD表[属性]))),0),2),INDEX(武器MOD表[],MATCH(1,(武器MOD表[名称]=A68)*(武器MOD表[品质]=E68)*((武器MOD表[类型]=C68)+(武器MOD表[限定]=C68)),0),2))</f>
        <v>#N/A</v>
      </c>
    </row>
    <row r="69" spans="1:7">
      <c r="A69" t="s">
        <v>756</v>
      </c>
      <c r="B69" s="50" t="s">
        <v>757</v>
      </c>
      <c r="F69" s="4">
        <f t="array" ref="F69">SUM(_xlfn.MAP(_xlfn.SEQUENCE(4),_xlfn.LAMBDA(_xlpm.i,POWER(36,4-_xlpm.i)*_xlfn.MAP(MID(代码表[[#This Row],[代码]],_xlpm.i,1),_xlfn.LAMBDA(_xlpm.a,IF(CODE(_xlpm.a)&gt;64,CODE(_xlpm.a)-55,CODE(_xlpm.a)-48))))))</f>
        <v>20305</v>
      </c>
      <c r="G69" s="10" t="e">
        <f t="array" ref="G69">IFERROR(INDEX(角色MOD表[],MATCH(1,(角色MOD表[名称]=A69)*(角色MOD表[品质]=E69)*IF(D69="",1,(角色MOD表[属性]="")+ISNUMBER(FIND(D69,角色MOD表[属性]))),0),2),INDEX(武器MOD表[],MATCH(1,(武器MOD表[名称]=A69)*(武器MOD表[品质]=E69)*((武器MOD表[类型]=C69)+(武器MOD表[限定]=C69)),0),2))</f>
        <v>#N/A</v>
      </c>
    </row>
    <row r="70" spans="1:7">
      <c r="A70" t="s">
        <v>758</v>
      </c>
      <c r="B70" s="50" t="s">
        <v>759</v>
      </c>
      <c r="F70" s="4">
        <f t="array" ref="F70">SUM(_xlfn.MAP(_xlfn.SEQUENCE(4),_xlfn.LAMBDA(_xlpm.i,POWER(36,4-_xlpm.i)*_xlfn.MAP(MID(代码表[[#This Row],[代码]],_xlpm.i,1),_xlfn.LAMBDA(_xlpm.a,IF(CODE(_xlpm.a)&gt;64,CODE(_xlpm.a)-55,CODE(_xlpm.a)-48))))))</f>
        <v>20401</v>
      </c>
      <c r="G70" s="10" t="e">
        <f t="array" ref="G70">IFERROR(INDEX(角色MOD表[],MATCH(1,(角色MOD表[名称]=A70)*(角色MOD表[品质]=E70)*IF(D70="",1,(角色MOD表[属性]="")+ISNUMBER(FIND(D70,角色MOD表[属性]))),0),2),INDEX(武器MOD表[],MATCH(1,(武器MOD表[名称]=A70)*(武器MOD表[品质]=E70)*((武器MOD表[类型]=C70)+(武器MOD表[限定]=C70)),0),2))</f>
        <v>#N/A</v>
      </c>
    </row>
    <row r="71" spans="1:7">
      <c r="A71" t="s">
        <v>760</v>
      </c>
      <c r="B71" s="50" t="s">
        <v>761</v>
      </c>
      <c r="F71" s="4">
        <f t="array" ref="F71">SUM(_xlfn.MAP(_xlfn.SEQUENCE(4),_xlfn.LAMBDA(_xlpm.i,POWER(36,4-_xlpm.i)*_xlfn.MAP(MID(代码表[[#This Row],[代码]],_xlpm.i,1),_xlfn.LAMBDA(_xlpm.a,IF(CODE(_xlpm.a)&gt;64,CODE(_xlpm.a)-55,CODE(_xlpm.a)-48))))))</f>
        <v>20402</v>
      </c>
      <c r="G71" s="10" t="e">
        <f t="array" ref="G71">IFERROR(INDEX(角色MOD表[],MATCH(1,(角色MOD表[名称]=A71)*(角色MOD表[品质]=E71)*IF(D71="",1,(角色MOD表[属性]="")+ISNUMBER(FIND(D71,角色MOD表[属性]))),0),2),INDEX(武器MOD表[],MATCH(1,(武器MOD表[名称]=A71)*(武器MOD表[品质]=E71)*((武器MOD表[类型]=C71)+(武器MOD表[限定]=C71)),0),2))</f>
        <v>#N/A</v>
      </c>
    </row>
    <row r="72" spans="1:7">
      <c r="A72" t="s">
        <v>762</v>
      </c>
      <c r="B72" s="50" t="s">
        <v>763</v>
      </c>
      <c r="F72" s="4">
        <f t="array" ref="F72">SUM(_xlfn.MAP(_xlfn.SEQUENCE(4),_xlfn.LAMBDA(_xlpm.i,POWER(36,4-_xlpm.i)*_xlfn.MAP(MID(代码表[[#This Row],[代码]],_xlpm.i,1),_xlfn.LAMBDA(_xlpm.a,IF(CODE(_xlpm.a)&gt;64,CODE(_xlpm.a)-55,CODE(_xlpm.a)-48))))))</f>
        <v>20501</v>
      </c>
      <c r="G72" s="10" t="e">
        <f t="array" ref="G72">IFERROR(INDEX(角色MOD表[],MATCH(1,(角色MOD表[名称]=A72)*(角色MOD表[品质]=E72)*IF(D72="",1,(角色MOD表[属性]="")+ISNUMBER(FIND(D72,角色MOD表[属性]))),0),2),INDEX(武器MOD表[],MATCH(1,(武器MOD表[名称]=A72)*(武器MOD表[品质]=E72)*((武器MOD表[类型]=C72)+(武器MOD表[限定]=C72)),0),2))</f>
        <v>#N/A</v>
      </c>
    </row>
    <row r="73" spans="1:7">
      <c r="A73" t="s">
        <v>764</v>
      </c>
      <c r="B73" s="50" t="s">
        <v>765</v>
      </c>
      <c r="F73" s="4">
        <f t="array" ref="F73">SUM(_xlfn.MAP(_xlfn.SEQUENCE(4),_xlfn.LAMBDA(_xlpm.i,POWER(36,4-_xlpm.i)*_xlfn.MAP(MID(代码表[[#This Row],[代码]],_xlpm.i,1),_xlfn.LAMBDA(_xlpm.a,IF(CODE(_xlpm.a)&gt;64,CODE(_xlpm.a)-55,CODE(_xlpm.a)-48))))))</f>
        <v>20502</v>
      </c>
      <c r="G73" s="10" t="e">
        <f t="array" ref="G73">IFERROR(INDEX(角色MOD表[],MATCH(1,(角色MOD表[名称]=A73)*(角色MOD表[品质]=E73)*IF(D73="",1,(角色MOD表[属性]="")+ISNUMBER(FIND(D73,角色MOD表[属性]))),0),2),INDEX(武器MOD表[],MATCH(1,(武器MOD表[名称]=A73)*(武器MOD表[品质]=E73)*((武器MOD表[类型]=C73)+(武器MOD表[限定]=C73)),0),2))</f>
        <v>#N/A</v>
      </c>
    </row>
    <row r="74" spans="1:7">
      <c r="A74" t="s">
        <v>766</v>
      </c>
      <c r="B74" s="50" t="s">
        <v>767</v>
      </c>
      <c r="F74" s="4">
        <f t="array" ref="F74">SUM(_xlfn.MAP(_xlfn.SEQUENCE(4),_xlfn.LAMBDA(_xlpm.i,POWER(36,4-_xlpm.i)*_xlfn.MAP(MID(代码表[[#This Row],[代码]],_xlpm.i,1),_xlfn.LAMBDA(_xlpm.a,IF(CODE(_xlpm.a)&gt;64,CODE(_xlpm.a)-55,CODE(_xlpm.a)-48))))))</f>
        <v>20503</v>
      </c>
      <c r="G74" s="10" t="e">
        <f t="array" ref="G74">IFERROR(INDEX(角色MOD表[],MATCH(1,(角色MOD表[名称]=A74)*(角色MOD表[品质]=E74)*IF(D74="",1,(角色MOD表[属性]="")+ISNUMBER(FIND(D74,角色MOD表[属性]))),0),2),INDEX(武器MOD表[],MATCH(1,(武器MOD表[名称]=A74)*(武器MOD表[品质]=E74)*((武器MOD表[类型]=C74)+(武器MOD表[限定]=C74)),0),2))</f>
        <v>#N/A</v>
      </c>
    </row>
    <row r="75" spans="1:7">
      <c r="A75" t="s">
        <v>768</v>
      </c>
      <c r="B75" s="50" t="s">
        <v>769</v>
      </c>
      <c r="F75" s="4">
        <f t="array" ref="F75">SUM(_xlfn.MAP(_xlfn.SEQUENCE(4),_xlfn.LAMBDA(_xlpm.i,POWER(36,4-_xlpm.i)*_xlfn.MAP(MID(代码表[[#This Row],[代码]],_xlpm.i,1),_xlfn.LAMBDA(_xlpm.a,IF(CODE(_xlpm.a)&gt;64,CODE(_xlpm.a)-55,CODE(_xlpm.a)-48))))))</f>
        <v>20509</v>
      </c>
      <c r="G75" s="10" t="e">
        <f t="array" ref="G75">IFERROR(INDEX(角色MOD表[],MATCH(1,(角色MOD表[名称]=A75)*(角色MOD表[品质]=E75)*IF(D75="",1,(角色MOD表[属性]="")+ISNUMBER(FIND(D75,角色MOD表[属性]))),0),2),INDEX(武器MOD表[],MATCH(1,(武器MOD表[名称]=A75)*(武器MOD表[品质]=E75)*((武器MOD表[类型]=C75)+(武器MOD表[限定]=C75)),0),2))</f>
        <v>#N/A</v>
      </c>
    </row>
    <row r="76" spans="1:7">
      <c r="A76" t="s">
        <v>770</v>
      </c>
      <c r="B76" s="50" t="s">
        <v>771</v>
      </c>
      <c r="F76" s="4">
        <f t="array" ref="F76">SUM(_xlfn.MAP(_xlfn.SEQUENCE(4),_xlfn.LAMBDA(_xlpm.i,POWER(36,4-_xlpm.i)*_xlfn.MAP(MID(代码表[[#This Row],[代码]],_xlpm.i,1),_xlfn.LAMBDA(_xlpm.a,IF(CODE(_xlpm.a)&gt;64,CODE(_xlpm.a)-55,CODE(_xlpm.a)-48))))))</f>
        <v>20601</v>
      </c>
      <c r="G76" s="10" t="e">
        <f t="array" ref="G76">IFERROR(INDEX(角色MOD表[],MATCH(1,(角色MOD表[名称]=A76)*(角色MOD表[品质]=E76)*IF(D76="",1,(角色MOD表[属性]="")+ISNUMBER(FIND(D76,角色MOD表[属性]))),0),2),INDEX(武器MOD表[],MATCH(1,(武器MOD表[名称]=A76)*(武器MOD表[品质]=E76)*((武器MOD表[类型]=C76)+(武器MOD表[限定]=C76)),0),2))</f>
        <v>#N/A</v>
      </c>
    </row>
    <row r="77" spans="1:7">
      <c r="A77" t="s">
        <v>772</v>
      </c>
      <c r="B77" s="50" t="s">
        <v>773</v>
      </c>
      <c r="F77" s="4">
        <f t="array" ref="F77">SUM(_xlfn.MAP(_xlfn.SEQUENCE(4),_xlfn.LAMBDA(_xlpm.i,POWER(36,4-_xlpm.i)*_xlfn.MAP(MID(代码表[[#This Row],[代码]],_xlpm.i,1),_xlfn.LAMBDA(_xlpm.a,IF(CODE(_xlpm.a)&gt;64,CODE(_xlpm.a)-55,CODE(_xlpm.a)-48))))))</f>
        <v>20602</v>
      </c>
      <c r="G77" s="10" t="e">
        <f t="array" ref="G77">IFERROR(INDEX(角色MOD表[],MATCH(1,(角色MOD表[名称]=A77)*(角色MOD表[品质]=E77)*IF(D77="",1,(角色MOD表[属性]="")+ISNUMBER(FIND(D77,角色MOD表[属性]))),0),2),INDEX(武器MOD表[],MATCH(1,(武器MOD表[名称]=A77)*(武器MOD表[品质]=E77)*((武器MOD表[类型]=C77)+(武器MOD表[限定]=C77)),0),2))</f>
        <v>#N/A</v>
      </c>
    </row>
    <row r="78" spans="1:7">
      <c r="A78" t="s">
        <v>774</v>
      </c>
      <c r="B78" s="50" t="s">
        <v>775</v>
      </c>
      <c r="F78" s="4">
        <f t="array" ref="F78">SUM(_xlfn.MAP(_xlfn.SEQUENCE(4),_xlfn.LAMBDA(_xlpm.i,POWER(36,4-_xlpm.i)*_xlfn.MAP(MID(代码表[[#This Row],[代码]],_xlpm.i,1),_xlfn.LAMBDA(_xlpm.a,IF(CODE(_xlpm.a)&gt;64,CODE(_xlpm.a)-55,CODE(_xlpm.a)-48))))))</f>
        <v>20603</v>
      </c>
      <c r="G78" s="10" t="e">
        <f t="array" ref="G78">IFERROR(INDEX(角色MOD表[],MATCH(1,(角色MOD表[名称]=A78)*(角色MOD表[品质]=E78)*IF(D78="",1,(角色MOD表[属性]="")+ISNUMBER(FIND(D78,角色MOD表[属性]))),0),2),INDEX(武器MOD表[],MATCH(1,(武器MOD表[名称]=A78)*(武器MOD表[品质]=E78)*((武器MOD表[类型]=C78)+(武器MOD表[限定]=C78)),0),2))</f>
        <v>#N/A</v>
      </c>
    </row>
    <row r="79" spans="1:7">
      <c r="A79" t="s">
        <v>776</v>
      </c>
      <c r="B79" s="50" t="s">
        <v>777</v>
      </c>
      <c r="F79" s="4">
        <f t="array" ref="F79">SUM(_xlfn.MAP(_xlfn.SEQUENCE(4),_xlfn.LAMBDA(_xlpm.i,POWER(36,4-_xlpm.i)*_xlfn.MAP(MID(代码表[[#This Row],[代码]],_xlpm.i,1),_xlfn.LAMBDA(_xlpm.a,IF(CODE(_xlpm.a)&gt;64,CODE(_xlpm.a)-55,CODE(_xlpm.a)-48))))))</f>
        <v>20604</v>
      </c>
      <c r="G79" s="10" t="e">
        <f t="array" ref="G79">IFERROR(INDEX(角色MOD表[],MATCH(1,(角色MOD表[名称]=A79)*(角色MOD表[品质]=E79)*IF(D79="",1,(角色MOD表[属性]="")+ISNUMBER(FIND(D79,角色MOD表[属性]))),0),2),INDEX(武器MOD表[],MATCH(1,(武器MOD表[名称]=A79)*(武器MOD表[品质]=E79)*((武器MOD表[类型]=C79)+(武器MOD表[限定]=C79)),0),2))</f>
        <v>#N/A</v>
      </c>
    </row>
    <row r="80" spans="1:7">
      <c r="A80" t="s">
        <v>778</v>
      </c>
      <c r="B80" s="50" t="s">
        <v>779</v>
      </c>
      <c r="C80" t="s">
        <v>16</v>
      </c>
      <c r="D80"/>
      <c r="E80" t="s">
        <v>780</v>
      </c>
      <c r="F80">
        <f t="array" ref="F80">SUM(_xlfn.MAP(_xlfn.SEQUENCE(4),_xlfn.LAMBDA(_xlpm.i,POWER(36,4-_xlpm.i)*_xlfn.MAP(MID(代码表[[#This Row],[代码]],_xlpm.i,1),_xlfn.LAMBDA(_xlpm.a,IF(CODE(_xlpm.a)&gt;64,CODE(_xlpm.a)-55,CODE(_xlpm.a)-48))))))</f>
        <v>21005</v>
      </c>
      <c r="G80" s="10" t="str">
        <f t="array" ref="G80">IFERROR(INDEX(角色MOD表[],MATCH(1,(角色MOD表[名称]=A80)*(角色MOD表[品质]=E80)*IF(D80="",1,(角色MOD表[属性]="")+ISNUMBER(FIND(D80,角色MOD表[属性]))),0),2),INDEX(武器MOD表[],MATCH(1,(武器MOD表[名称]=A80)*(武器MOD表[品质]=E80)*((武器MOD表[类型]=C80)+(武器MOD表[限定]=C80)),0),2))</f>
        <v>不死鸟</v>
      </c>
    </row>
    <row r="81" spans="1:7">
      <c r="A81" t="s">
        <v>781</v>
      </c>
      <c r="B81" s="50" t="s">
        <v>782</v>
      </c>
      <c r="C81" t="s">
        <v>16</v>
      </c>
      <c r="E81" t="s">
        <v>780</v>
      </c>
      <c r="F81">
        <f t="array" ref="F81">SUM(_xlfn.MAP(_xlfn.SEQUENCE(4),_xlfn.LAMBDA(_xlpm.i,POWER(36,4-_xlpm.i)*_xlfn.MAP(MID(代码表[[#This Row],[代码]],_xlpm.i,1),_xlfn.LAMBDA(_xlpm.a,IF(CODE(_xlpm.a)&gt;64,CODE(_xlpm.a)-55,CODE(_xlpm.a)-48))))))</f>
        <v>21006</v>
      </c>
      <c r="G81" s="10" t="str">
        <f t="array" ref="G81">IFERROR(INDEX(角色MOD表[],MATCH(1,(角色MOD表[名称]=A81)*(角色MOD表[品质]=E81)*IF(D81="",1,(角色MOD表[属性]="")+ISNUMBER(FIND(D81,角色MOD表[属性]))),0),2),INDEX(武器MOD表[],MATCH(1,(武器MOD表[名称]=A81)*(武器MOD表[品质]=E81)*((武器MOD表[类型]=C81)+(武器MOD表[限定]=C81)),0),2))</f>
        <v>不死鸟</v>
      </c>
    </row>
    <row r="82" spans="1:7">
      <c r="A82" t="s">
        <v>783</v>
      </c>
      <c r="B82" s="50" t="s">
        <v>784</v>
      </c>
      <c r="C82" t="s">
        <v>16</v>
      </c>
      <c r="D82" t="s">
        <v>79</v>
      </c>
      <c r="E82" t="s">
        <v>780</v>
      </c>
      <c r="F82">
        <f t="array" ref="F82">SUM(_xlfn.MAP(_xlfn.SEQUENCE(4),_xlfn.LAMBDA(_xlpm.i,POWER(36,4-_xlpm.i)*_xlfn.MAP(MID(代码表[[#This Row],[代码]],_xlpm.i,1),_xlfn.LAMBDA(_xlpm.a,IF(CODE(_xlpm.a)&gt;64,CODE(_xlpm.a)-55,CODE(_xlpm.a)-48))))))</f>
        <v>21401</v>
      </c>
      <c r="G82" s="10" t="str">
        <f t="array" ref="G82">IFERROR(INDEX(角色MOD表[],MATCH(1,(角色MOD表[名称]=A82)*(角色MOD表[品质]=E82)*IF(D82="",1,(角色MOD表[属性]="")+ISNUMBER(FIND(D82,角色MOD表[属性]))),0),2),INDEX(武器MOD表[],MATCH(1,(武器MOD表[名称]=A82)*(武器MOD表[品质]=E82)*((武器MOD表[类型]=C82)+(武器MOD表[限定]=C82)),0),2))</f>
        <v>百首</v>
      </c>
    </row>
    <row r="83" spans="1:7">
      <c r="A83" t="s">
        <v>783</v>
      </c>
      <c r="B83" s="50" t="s">
        <v>785</v>
      </c>
      <c r="C83" t="s">
        <v>16</v>
      </c>
      <c r="D83" t="s">
        <v>23</v>
      </c>
      <c r="E83" t="s">
        <v>780</v>
      </c>
      <c r="F83">
        <f t="array" ref="F83">SUM(_xlfn.MAP(_xlfn.SEQUENCE(4),_xlfn.LAMBDA(_xlpm.i,POWER(36,4-_xlpm.i)*_xlfn.MAP(MID(代码表[[#This Row],[代码]],_xlpm.i,1),_xlfn.LAMBDA(_xlpm.a,IF(CODE(_xlpm.a)&gt;64,CODE(_xlpm.a)-55,CODE(_xlpm.a)-48))))))</f>
        <v>21402</v>
      </c>
      <c r="G83" s="10" t="str">
        <f t="array" ref="G83">IFERROR(INDEX(角色MOD表[],MATCH(1,(角色MOD表[名称]=A83)*(角色MOD表[品质]=E83)*IF(D83="",1,(角色MOD表[属性]="")+ISNUMBER(FIND(D83,角色MOD表[属性]))),0),2),INDEX(武器MOD表[],MATCH(1,(武器MOD表[名称]=A83)*(武器MOD表[品质]=E83)*((武器MOD表[类型]=C83)+(武器MOD表[限定]=C83)),0),2))</f>
        <v>百首</v>
      </c>
    </row>
    <row r="84" spans="1:7">
      <c r="A84" t="s">
        <v>783</v>
      </c>
      <c r="B84" s="50" t="s">
        <v>786</v>
      </c>
      <c r="C84" t="s">
        <v>16</v>
      </c>
      <c r="D84" t="s">
        <v>37</v>
      </c>
      <c r="E84" t="s">
        <v>780</v>
      </c>
      <c r="F84">
        <f t="array" ref="F84">SUM(_xlfn.MAP(_xlfn.SEQUENCE(4),_xlfn.LAMBDA(_xlpm.i,POWER(36,4-_xlpm.i)*_xlfn.MAP(MID(代码表[[#This Row],[代码]],_xlpm.i,1),_xlfn.LAMBDA(_xlpm.a,IF(CODE(_xlpm.a)&gt;64,CODE(_xlpm.a)-55,CODE(_xlpm.a)-48))))))</f>
        <v>21403</v>
      </c>
      <c r="G84" s="10" t="str">
        <f t="array" ref="G84">IFERROR(INDEX(角色MOD表[],MATCH(1,(角色MOD表[名称]=A84)*(角色MOD表[品质]=E84)*IF(D84="",1,(角色MOD表[属性]="")+ISNUMBER(FIND(D84,角色MOD表[属性]))),0),2),INDEX(武器MOD表[],MATCH(1,(武器MOD表[名称]=A84)*(武器MOD表[品质]=E84)*((武器MOD表[类型]=C84)+(武器MOD表[限定]=C84)),0),2))</f>
        <v>百首</v>
      </c>
    </row>
    <row r="85" spans="1:7">
      <c r="A85" t="s">
        <v>783</v>
      </c>
      <c r="B85" s="50" t="s">
        <v>787</v>
      </c>
      <c r="C85" t="s">
        <v>16</v>
      </c>
      <c r="D85" t="s">
        <v>10</v>
      </c>
      <c r="E85" t="s">
        <v>780</v>
      </c>
      <c r="F85">
        <f t="array" ref="F85">SUM(_xlfn.MAP(_xlfn.SEQUENCE(4),_xlfn.LAMBDA(_xlpm.i,POWER(36,4-_xlpm.i)*_xlfn.MAP(MID(代码表[[#This Row],[代码]],_xlpm.i,1),_xlfn.LAMBDA(_xlpm.a,IF(CODE(_xlpm.a)&gt;64,CODE(_xlpm.a)-55,CODE(_xlpm.a)-48))))))</f>
        <v>21404</v>
      </c>
      <c r="G85" s="10" t="str">
        <f t="array" ref="G85">IFERROR(INDEX(角色MOD表[],MATCH(1,(角色MOD表[名称]=A85)*(角色MOD表[品质]=E85)*IF(D85="",1,(角色MOD表[属性]="")+ISNUMBER(FIND(D85,角色MOD表[属性]))),0),2),INDEX(武器MOD表[],MATCH(1,(武器MOD表[名称]=A85)*(武器MOD表[品质]=E85)*((武器MOD表[类型]=C85)+(武器MOD表[限定]=C85)),0),2))</f>
        <v>百首</v>
      </c>
    </row>
    <row r="86" spans="1:7">
      <c r="A86" t="s">
        <v>783</v>
      </c>
      <c r="B86" s="50" t="s">
        <v>788</v>
      </c>
      <c r="C86" t="s">
        <v>16</v>
      </c>
      <c r="D86" t="s">
        <v>43</v>
      </c>
      <c r="E86" t="s">
        <v>780</v>
      </c>
      <c r="F86">
        <f t="array" ref="F86">SUM(_xlfn.MAP(_xlfn.SEQUENCE(4),_xlfn.LAMBDA(_xlpm.i,POWER(36,4-_xlpm.i)*_xlfn.MAP(MID(代码表[[#This Row],[代码]],_xlpm.i,1),_xlfn.LAMBDA(_xlpm.a,IF(CODE(_xlpm.a)&gt;64,CODE(_xlpm.a)-55,CODE(_xlpm.a)-48))))))</f>
        <v>21405</v>
      </c>
      <c r="G86" s="10" t="str">
        <f t="array" ref="G86">IFERROR(INDEX(角色MOD表[],MATCH(1,(角色MOD表[名称]=A86)*(角色MOD表[品质]=E86)*IF(D86="",1,(角色MOD表[属性]="")+ISNUMBER(FIND(D86,角色MOD表[属性]))),0),2),INDEX(武器MOD表[],MATCH(1,(武器MOD表[名称]=A86)*(武器MOD表[品质]=E86)*((武器MOD表[类型]=C86)+(武器MOD表[限定]=C86)),0),2))</f>
        <v>百首</v>
      </c>
    </row>
    <row r="87" spans="1:7">
      <c r="A87" t="s">
        <v>783</v>
      </c>
      <c r="B87" s="50" t="s">
        <v>789</v>
      </c>
      <c r="C87" t="s">
        <v>16</v>
      </c>
      <c r="D87" t="s">
        <v>72</v>
      </c>
      <c r="E87" t="s">
        <v>780</v>
      </c>
      <c r="F87">
        <f t="array" ref="F87">SUM(_xlfn.MAP(_xlfn.SEQUENCE(4),_xlfn.LAMBDA(_xlpm.i,POWER(36,4-_xlpm.i)*_xlfn.MAP(MID(代码表[[#This Row],[代码]],_xlpm.i,1),_xlfn.LAMBDA(_xlpm.a,IF(CODE(_xlpm.a)&gt;64,CODE(_xlpm.a)-55,CODE(_xlpm.a)-48))))))</f>
        <v>21406</v>
      </c>
      <c r="G87" s="10" t="str">
        <f t="array" ref="G87">IFERROR(INDEX(角色MOD表[],MATCH(1,(角色MOD表[名称]=A87)*(角色MOD表[品质]=E87)*IF(D87="",1,(角色MOD表[属性]="")+ISNUMBER(FIND(D87,角色MOD表[属性]))),0),2),INDEX(武器MOD表[],MATCH(1,(武器MOD表[名称]=A87)*(武器MOD表[品质]=E87)*((武器MOD表[类型]=C87)+(武器MOD表[限定]=C87)),0),2))</f>
        <v>百首</v>
      </c>
    </row>
    <row r="88" spans="1:7">
      <c r="A88" t="s">
        <v>790</v>
      </c>
      <c r="B88" s="50" t="s">
        <v>791</v>
      </c>
      <c r="C88" t="s">
        <v>140</v>
      </c>
      <c r="E88" t="s">
        <v>780</v>
      </c>
      <c r="F88" s="4">
        <f t="array" ref="F88">SUM(_xlfn.MAP(_xlfn.SEQUENCE(4),_xlfn.LAMBDA(_xlpm.i,POWER(36,4-_xlpm.i)*_xlfn.MAP(MID(代码表[[#This Row],[代码]],_xlpm.i,1),_xlfn.LAMBDA(_xlpm.a,IF(CODE(_xlpm.a)&gt;64,CODE(_xlpm.a)-55,CODE(_xlpm.a)-48))))))</f>
        <v>22007</v>
      </c>
      <c r="G88" s="10" t="str">
        <f t="array" ref="G88">IFERROR(INDEX(角色MOD表[],MATCH(1,(角色MOD表[名称]=A88)*(角色MOD表[品质]=E88)*IF(D88="",1,(角色MOD表[属性]="")+ISNUMBER(FIND(D88,角色MOD表[属性]))),0),2),INDEX(武器MOD表[],MATCH(1,(武器MOD表[名称]=A88)*(武器MOD表[品质]=E88)*((武器MOD表[类型]=C88)+(武器MOD表[限定]=C88)),0),2))</f>
        <v>冥犬</v>
      </c>
    </row>
    <row r="89" spans="1:7">
      <c r="A89" t="s">
        <v>792</v>
      </c>
      <c r="B89" s="50" t="s">
        <v>793</v>
      </c>
      <c r="C89" t="s">
        <v>140</v>
      </c>
      <c r="D89"/>
      <c r="E89" t="s">
        <v>780</v>
      </c>
      <c r="F89" s="4">
        <f t="array" ref="F89">SUM(_xlfn.MAP(_xlfn.SEQUENCE(4),_xlfn.LAMBDA(_xlpm.i,POWER(36,4-_xlpm.i)*_xlfn.MAP(MID(代码表[[#This Row],[代码]],_xlpm.i,1),_xlfn.LAMBDA(_xlpm.a,IF(CODE(_xlpm.a)&gt;64,CODE(_xlpm.a)-55,CODE(_xlpm.a)-48))))))</f>
        <v>22008</v>
      </c>
      <c r="G89" s="10" t="str">
        <f t="array" ref="G89">IFERROR(INDEX(角色MOD表[],MATCH(1,(角色MOD表[名称]=A89)*(角色MOD表[品质]=E89)*IF(D89="",1,(角色MOD表[属性]="")+ISNUMBER(FIND(D89,角色MOD表[属性]))),0),2),INDEX(武器MOD表[],MATCH(1,(武器MOD表[名称]=A89)*(武器MOD表[品质]=E89)*((武器MOD表[类型]=C89)+(武器MOD表[限定]=C89)),0),2))</f>
        <v>冥犬</v>
      </c>
    </row>
    <row r="90" spans="1:7">
      <c r="A90" t="s">
        <v>794</v>
      </c>
      <c r="B90" s="50" t="s">
        <v>795</v>
      </c>
      <c r="C90" t="s">
        <v>140</v>
      </c>
      <c r="E90" t="s">
        <v>780</v>
      </c>
      <c r="F90" s="4">
        <f t="array" ref="F90">SUM(_xlfn.MAP(_xlfn.SEQUENCE(4),_xlfn.LAMBDA(_xlpm.i,POWER(36,4-_xlpm.i)*_xlfn.MAP(MID(代码表[[#This Row],[代码]],_xlpm.i,1),_xlfn.LAMBDA(_xlpm.a,IF(CODE(_xlpm.a)&gt;64,CODE(_xlpm.a)-55,CODE(_xlpm.a)-48))))))</f>
        <v>22111</v>
      </c>
      <c r="G90" s="10" t="str">
        <f t="array" ref="G90">IFERROR(INDEX(角色MOD表[],MATCH(1,(角色MOD表[名称]=A90)*(角色MOD表[品质]=E90)*IF(D90="",1,(角色MOD表[属性]="")+ISNUMBER(FIND(D90,角色MOD表[属性]))),0),2),INDEX(武器MOD表[],MATCH(1,(武器MOD表[名称]=A90)*(武器MOD表[品质]=E90)*((武器MOD表[类型]=C90)+(武器MOD表[限定]=C90)),0),2))</f>
        <v>冥犬</v>
      </c>
    </row>
    <row r="91" spans="1:7">
      <c r="A91" t="s">
        <v>796</v>
      </c>
      <c r="B91" s="50" t="s">
        <v>797</v>
      </c>
      <c r="C91" t="s">
        <v>140</v>
      </c>
      <c r="E91" t="s">
        <v>780</v>
      </c>
      <c r="F91" s="4">
        <f t="array" ref="F91">SUM(_xlfn.MAP(_xlfn.SEQUENCE(4),_xlfn.LAMBDA(_xlpm.i,POWER(36,4-_xlpm.i)*_xlfn.MAP(MID(代码表[[#This Row],[代码]],_xlpm.i,1),_xlfn.LAMBDA(_xlpm.a,IF(CODE(_xlpm.a)&gt;64,CODE(_xlpm.a)-55,CODE(_xlpm.a)-48))))))</f>
        <v>22112</v>
      </c>
      <c r="G91" s="10" t="str">
        <f t="array" ref="G91">IFERROR(INDEX(角色MOD表[],MATCH(1,(角色MOD表[名称]=A91)*(角色MOD表[品质]=E91)*IF(D91="",1,(角色MOD表[属性]="")+ISNUMBER(FIND(D91,角色MOD表[属性]))),0),2),INDEX(武器MOD表[],MATCH(1,(武器MOD表[名称]=A91)*(武器MOD表[品质]=E91)*((武器MOD表[类型]=C91)+(武器MOD表[限定]=C91)),0),2))</f>
        <v>冥犬</v>
      </c>
    </row>
    <row r="92" spans="1:7">
      <c r="A92" t="s">
        <v>798</v>
      </c>
      <c r="B92" s="50" t="s">
        <v>799</v>
      </c>
      <c r="C92" t="s">
        <v>140</v>
      </c>
      <c r="E92" t="s">
        <v>780</v>
      </c>
      <c r="F92" s="4">
        <f t="array" ref="F92">SUM(_xlfn.MAP(_xlfn.SEQUENCE(4),_xlfn.LAMBDA(_xlpm.i,POWER(36,4-_xlpm.i)*_xlfn.MAP(MID(代码表[[#This Row],[代码]],_xlpm.i,1),_xlfn.LAMBDA(_xlpm.a,IF(CODE(_xlpm.a)&gt;64,CODE(_xlpm.a)-55,CODE(_xlpm.a)-48))))))</f>
        <v>22113</v>
      </c>
      <c r="G92" s="10" t="str">
        <f t="array" ref="G92">IFERROR(INDEX(角色MOD表[],MATCH(1,(角色MOD表[名称]=A92)*(角色MOD表[品质]=E92)*IF(D92="",1,(角色MOD表[属性]="")+ISNUMBER(FIND(D92,角色MOD表[属性]))),0),2),INDEX(武器MOD表[],MATCH(1,(武器MOD表[名称]=A92)*(武器MOD表[品质]=E92)*((武器MOD表[类型]=C92)+(武器MOD表[限定]=C92)),0),2))</f>
        <v>冥犬</v>
      </c>
    </row>
    <row r="93" spans="1:7">
      <c r="A93" t="s">
        <v>790</v>
      </c>
      <c r="B93" s="50" t="s">
        <v>800</v>
      </c>
      <c r="C93" t="s">
        <v>170</v>
      </c>
      <c r="E93" t="s">
        <v>780</v>
      </c>
      <c r="F93" s="4">
        <f t="array" ref="F93">SUM(_xlfn.MAP(_xlfn.SEQUENCE(4),_xlfn.LAMBDA(_xlpm.i,POWER(36,4-_xlpm.i)*_xlfn.MAP(MID(代码表[[#This Row],[代码]],_xlpm.i,1),_xlfn.LAMBDA(_xlpm.a,IF(CODE(_xlpm.a)&gt;64,CODE(_xlpm.a)-55,CODE(_xlpm.a)-48))))))</f>
        <v>23007</v>
      </c>
      <c r="G93" s="10" t="str">
        <f t="array" ref="G93">IFERROR(INDEX(角色MOD表[],MATCH(1,(角色MOD表[名称]=A93)*(角色MOD表[品质]=E93)*IF(D93="",1,(角色MOD表[属性]="")+ISNUMBER(FIND(D93,角色MOD表[属性]))),0),2),INDEX(武器MOD表[],MATCH(1,(武器MOD表[名称]=A93)*(武器MOD表[品质]=E93)*((武器MOD表[类型]=C93)+(武器MOD表[限定]=C93)),0),2))</f>
        <v>夜魔</v>
      </c>
    </row>
    <row r="94" spans="1:7">
      <c r="A94" t="s">
        <v>792</v>
      </c>
      <c r="B94" s="50" t="s">
        <v>801</v>
      </c>
      <c r="C94" t="s">
        <v>170</v>
      </c>
      <c r="E94" t="s">
        <v>780</v>
      </c>
      <c r="F94" s="4">
        <f t="array" ref="F94">SUM(_xlfn.MAP(_xlfn.SEQUENCE(4),_xlfn.LAMBDA(_xlpm.i,POWER(36,4-_xlpm.i)*_xlfn.MAP(MID(代码表[[#This Row],[代码]],_xlpm.i,1),_xlfn.LAMBDA(_xlpm.a,IF(CODE(_xlpm.a)&gt;64,CODE(_xlpm.a)-55,CODE(_xlpm.a)-48))))))</f>
        <v>23008</v>
      </c>
      <c r="G94" s="10" t="str">
        <f t="array" ref="G94">IFERROR(INDEX(角色MOD表[],MATCH(1,(角色MOD表[名称]=A94)*(角色MOD表[品质]=E94)*IF(D94="",1,(角色MOD表[属性]="")+ISNUMBER(FIND(D94,角色MOD表[属性]))),0),2),INDEX(武器MOD表[],MATCH(1,(武器MOD表[名称]=A94)*(武器MOD表[品质]=E94)*((武器MOD表[类型]=C94)+(武器MOD表[限定]=C94)),0),2))</f>
        <v>夜魔</v>
      </c>
    </row>
    <row r="95" spans="1:10">
      <c r="A95" t="s">
        <v>794</v>
      </c>
      <c r="B95" s="50" t="s">
        <v>802</v>
      </c>
      <c r="C95" t="s">
        <v>170</v>
      </c>
      <c r="E95" t="s">
        <v>780</v>
      </c>
      <c r="F95" s="4">
        <f t="array" ref="F95">SUM(_xlfn.MAP(_xlfn.SEQUENCE(4),_xlfn.LAMBDA(_xlpm.i,POWER(36,4-_xlpm.i)*_xlfn.MAP(MID(代码表[[#This Row],[代码]],_xlpm.i,1),_xlfn.LAMBDA(_xlpm.a,IF(CODE(_xlpm.a)&gt;64,CODE(_xlpm.a)-55,CODE(_xlpm.a)-48))))))</f>
        <v>23111</v>
      </c>
      <c r="G95" s="10" t="str">
        <f t="array" ref="G95">IFERROR(INDEX(角色MOD表[],MATCH(1,(角色MOD表[名称]=A95)*(角色MOD表[品质]=E95)*IF(D95="",1,(角色MOD表[属性]="")+ISNUMBER(FIND(D95,角色MOD表[属性]))),0),2),INDEX(武器MOD表[],MATCH(1,(武器MOD表[名称]=A95)*(武器MOD表[品质]=E95)*((武器MOD表[类型]=C95)+(武器MOD表[限定]=C95)),0),2))</f>
        <v>夜魔</v>
      </c>
      <c r="J95" s="10"/>
    </row>
    <row r="96" spans="1:10">
      <c r="A96" t="s">
        <v>796</v>
      </c>
      <c r="B96" s="50" t="s">
        <v>803</v>
      </c>
      <c r="C96" t="s">
        <v>170</v>
      </c>
      <c r="E96" t="s">
        <v>780</v>
      </c>
      <c r="F96" s="4">
        <f t="array" ref="F96">SUM(_xlfn.MAP(_xlfn.SEQUENCE(4),_xlfn.LAMBDA(_xlpm.i,POWER(36,4-_xlpm.i)*_xlfn.MAP(MID(代码表[[#This Row],[代码]],_xlpm.i,1),_xlfn.LAMBDA(_xlpm.a,IF(CODE(_xlpm.a)&gt;64,CODE(_xlpm.a)-55,CODE(_xlpm.a)-48))))))</f>
        <v>23112</v>
      </c>
      <c r="G96" s="10" t="str">
        <f t="array" ref="G96">IFERROR(INDEX(角色MOD表[],MATCH(1,(角色MOD表[名称]=A96)*(角色MOD表[品质]=E96)*IF(D96="",1,(角色MOD表[属性]="")+ISNUMBER(FIND(D96,角色MOD表[属性]))),0),2),INDEX(武器MOD表[],MATCH(1,(武器MOD表[名称]=A96)*(武器MOD表[品质]=E96)*((武器MOD表[类型]=C96)+(武器MOD表[限定]=C96)),0),2))</f>
        <v>夜魔</v>
      </c>
      <c r="J96" s="10"/>
    </row>
    <row r="97" spans="1:10">
      <c r="A97" t="s">
        <v>798</v>
      </c>
      <c r="B97" s="50" t="s">
        <v>804</v>
      </c>
      <c r="C97" t="s">
        <v>170</v>
      </c>
      <c r="E97" t="s">
        <v>780</v>
      </c>
      <c r="F97" s="4">
        <f t="array" ref="F97">SUM(_xlfn.MAP(_xlfn.SEQUENCE(4),_xlfn.LAMBDA(_xlpm.i,POWER(36,4-_xlpm.i)*_xlfn.MAP(MID(代码表[[#This Row],[代码]],_xlpm.i,1),_xlfn.LAMBDA(_xlpm.a,IF(CODE(_xlpm.a)&gt;64,CODE(_xlpm.a)-55,CODE(_xlpm.a)-48))))))</f>
        <v>23113</v>
      </c>
      <c r="G97" s="10" t="str">
        <f t="array" ref="G97">IFERROR(INDEX(角色MOD表[],MATCH(1,(角色MOD表[名称]=A97)*(角色MOD表[品质]=E97)*IF(D97="",1,(角色MOD表[属性]="")+ISNUMBER(FIND(D97,角色MOD表[属性]))),0),2),INDEX(武器MOD表[],MATCH(1,(武器MOD表[名称]=A97)*(武器MOD表[品质]=E97)*((武器MOD表[类型]=C97)+(武器MOD表[限定]=C97)),0),2))</f>
        <v>夜魔</v>
      </c>
      <c r="J97" s="10"/>
    </row>
    <row r="98" spans="1:7">
      <c r="A98" t="s">
        <v>713</v>
      </c>
      <c r="B98" s="50" t="s">
        <v>805</v>
      </c>
      <c r="C98" t="s">
        <v>732</v>
      </c>
      <c r="E98" s="9" t="s">
        <v>780</v>
      </c>
      <c r="F98" s="4">
        <f>SUM(_xlfn.MAP(_xlfn.SEQUENCE(4),_xlfn.LAMBDA(_xlpm.i,POWER(36,4-_xlpm.i)*_xlfn.MAP(MID(代码表[[#This Row],[代码]],_xlpm.i,1),_xlfn.LAMBDA(_xlpm.a,IF(CODE(_xlpm.a)&gt;64,CODE(_xlpm.a)-55,CODE(_xlpm.a)-48))))))</f>
        <v>24001</v>
      </c>
      <c r="G98" s="10" t="str">
        <f t="array" ref="G98">IFERROR(INDEX(角色MOD表[],MATCH(1,(角色MOD表[名称]=A98)*(角色MOD表[品质]=E98)*IF(D98="",1,(角色MOD表[属性]="")+ISNUMBER(FIND(D98,角色MOD表[属性]))),0),2),INDEX(武器MOD表[],MATCH(1,(武器MOD表[名称]=A98)*(武器MOD表[品质]=E98)*((武器MOD表[类型]=C98)+(武器MOD表[限定]=C98)),0),2))</f>
        <v>异化冥犬</v>
      </c>
    </row>
    <row r="99" spans="1:7">
      <c r="A99" t="s">
        <v>177</v>
      </c>
      <c r="B99" s="50" t="s">
        <v>806</v>
      </c>
      <c r="C99" t="s">
        <v>732</v>
      </c>
      <c r="E99" s="9" t="s">
        <v>780</v>
      </c>
      <c r="F99" s="4">
        <f>SUM(_xlfn.MAP(_xlfn.SEQUENCE(4),_xlfn.LAMBDA(_xlpm.i,POWER(36,4-_xlpm.i)*_xlfn.MAP(MID(代码表[[#This Row],[代码]],_xlpm.i,1),_xlfn.LAMBDA(_xlpm.a,IF(CODE(_xlpm.a)&gt;64,CODE(_xlpm.a)-55,CODE(_xlpm.a)-48))))))</f>
        <v>24002</v>
      </c>
      <c r="G99" s="10" t="str">
        <f t="array" ref="G99">IFERROR(INDEX(角色MOD表[],MATCH(1,(角色MOD表[名称]=A99)*(角色MOD表[品质]=E99)*IF(D99="",1,(角色MOD表[属性]="")+ISNUMBER(FIND(D99,角色MOD表[属性]))),0),2),INDEX(武器MOD表[],MATCH(1,(武器MOD表[名称]=A99)*(武器MOD表[品质]=E99)*((武器MOD表[类型]=C99)+(武器MOD表[限定]=C99)),0),2))</f>
        <v>异化冥犬</v>
      </c>
    </row>
    <row r="100" spans="1:7">
      <c r="A100" t="s">
        <v>154</v>
      </c>
      <c r="B100" s="50" t="s">
        <v>807</v>
      </c>
      <c r="C100" t="s">
        <v>732</v>
      </c>
      <c r="E100" s="9" t="s">
        <v>780</v>
      </c>
      <c r="F100" s="4">
        <f>SUM(_xlfn.MAP(_xlfn.SEQUENCE(4),_xlfn.LAMBDA(_xlpm.i,POWER(36,4-_xlpm.i)*_xlfn.MAP(MID(代码表[[#This Row],[代码]],_xlpm.i,1),_xlfn.LAMBDA(_xlpm.a,IF(CODE(_xlpm.a)&gt;64,CODE(_xlpm.a)-55,CODE(_xlpm.a)-48))))))</f>
        <v>24003</v>
      </c>
      <c r="G100" s="10" t="str">
        <f t="array" ref="G100">IFERROR(INDEX(角色MOD表[],MATCH(1,(角色MOD表[名称]=A100)*(角色MOD表[品质]=E100)*IF(D100="",1,(角色MOD表[属性]="")+ISNUMBER(FIND(D100,角色MOD表[属性]))),0),2),INDEX(武器MOD表[],MATCH(1,(武器MOD表[名称]=A100)*(武器MOD表[品质]=E100)*((武器MOD表[类型]=C100)+(武器MOD表[限定]=C100)),0),2))</f>
        <v>异化冥犬</v>
      </c>
    </row>
    <row r="101" spans="1:7">
      <c r="A101" t="s">
        <v>153</v>
      </c>
      <c r="B101" s="50" t="s">
        <v>808</v>
      </c>
      <c r="C101" t="s">
        <v>732</v>
      </c>
      <c r="E101" s="9" t="s">
        <v>780</v>
      </c>
      <c r="F101" s="4">
        <f>SUM(_xlfn.MAP(_xlfn.SEQUENCE(4),_xlfn.LAMBDA(_xlpm.i,POWER(36,4-_xlpm.i)*_xlfn.MAP(MID(代码表[[#This Row],[代码]],_xlpm.i,1),_xlfn.LAMBDA(_xlpm.a,IF(CODE(_xlpm.a)&gt;64,CODE(_xlpm.a)-55,CODE(_xlpm.a)-48))))))</f>
        <v>24004</v>
      </c>
      <c r="G101" s="10" t="str">
        <f t="array" ref="G101">IFERROR(INDEX(角色MOD表[],MATCH(1,(角色MOD表[名称]=A101)*(角色MOD表[品质]=E101)*IF(D101="",1,(角色MOD表[属性]="")+ISNUMBER(FIND(D101,角色MOD表[属性]))),0),2),INDEX(武器MOD表[],MATCH(1,(武器MOD表[名称]=A101)*(武器MOD表[品质]=E101)*((武器MOD表[类型]=C101)+(武器MOD表[限定]=C101)),0),2))</f>
        <v>异化冥犬</v>
      </c>
    </row>
    <row r="102" spans="1:7">
      <c r="A102" t="s">
        <v>809</v>
      </c>
      <c r="B102" s="50" t="s">
        <v>810</v>
      </c>
      <c r="C102" t="s">
        <v>732</v>
      </c>
      <c r="E102" s="9" t="s">
        <v>780</v>
      </c>
      <c r="F102" s="4">
        <f>SUM(_xlfn.MAP(_xlfn.SEQUENCE(4),_xlfn.LAMBDA(_xlpm.i,POWER(36,4-_xlpm.i)*_xlfn.MAP(MID(代码表[[#This Row],[代码]],_xlpm.i,1),_xlfn.LAMBDA(_xlpm.a,IF(CODE(_xlpm.a)&gt;64,CODE(_xlpm.a)-55,CODE(_xlpm.a)-48))))))</f>
        <v>24005</v>
      </c>
      <c r="G102" s="10" t="str">
        <f t="array" ref="G102">IFERROR(INDEX(角色MOD表[],MATCH(1,(角色MOD表[名称]=A102)*(角色MOD表[品质]=E102)*IF(D102="",1,(角色MOD表[属性]="")+ISNUMBER(FIND(D102,角色MOD表[属性]))),0),2),INDEX(武器MOD表[],MATCH(1,(武器MOD表[名称]=A102)*(武器MOD表[品质]=E102)*((武器MOD表[类型]=C102)+(武器MOD表[限定]=C102)),0),2))</f>
        <v>异化冥犬</v>
      </c>
    </row>
    <row r="103" spans="1:7">
      <c r="A103" t="s">
        <v>717</v>
      </c>
      <c r="B103" s="50" t="s">
        <v>811</v>
      </c>
      <c r="C103" t="s">
        <v>732</v>
      </c>
      <c r="E103" s="9" t="s">
        <v>780</v>
      </c>
      <c r="F103" s="4">
        <f>SUM(_xlfn.MAP(_xlfn.SEQUENCE(4),_xlfn.LAMBDA(_xlpm.i,POWER(36,4-_xlpm.i)*_xlfn.MAP(MID(代码表[[#This Row],[代码]],_xlpm.i,1),_xlfn.LAMBDA(_xlpm.a,IF(CODE(_xlpm.a)&gt;64,CODE(_xlpm.a)-55,CODE(_xlpm.a)-48))))))</f>
        <v>24006</v>
      </c>
      <c r="G103" s="10" t="str">
        <f t="array" ref="G103">IFERROR(INDEX(角色MOD表[],MATCH(1,(角色MOD表[名称]=A103)*(角色MOD表[品质]=E103)*IF(D103="",1,(角色MOD表[属性]="")+ISNUMBER(FIND(D103,角色MOD表[属性]))),0),2),INDEX(武器MOD表[],MATCH(1,(武器MOD表[名称]=A103)*(武器MOD表[品质]=E103)*((武器MOD表[类型]=C103)+(武器MOD表[限定]=C103)),0),2))</f>
        <v>异化冥犬</v>
      </c>
    </row>
    <row r="104" spans="1:7">
      <c r="A104" t="s">
        <v>155</v>
      </c>
      <c r="B104" s="50" t="s">
        <v>812</v>
      </c>
      <c r="C104" t="s">
        <v>732</v>
      </c>
      <c r="E104" s="9" t="s">
        <v>780</v>
      </c>
      <c r="F104" s="4">
        <f>SUM(_xlfn.MAP(_xlfn.SEQUENCE(4),_xlfn.LAMBDA(_xlpm.i,POWER(36,4-_xlpm.i)*_xlfn.MAP(MID(代码表[[#This Row],[代码]],_xlpm.i,1),_xlfn.LAMBDA(_xlpm.a,IF(CODE(_xlpm.a)&gt;64,CODE(_xlpm.a)-55,CODE(_xlpm.a)-48))))))</f>
        <v>24101</v>
      </c>
      <c r="G104" s="10" t="str">
        <f t="array" ref="G104">IFERROR(INDEX(角色MOD表[],MATCH(1,(角色MOD表[名称]=A104)*(角色MOD表[品质]=E104)*IF(D104="",1,(角色MOD表[属性]="")+ISNUMBER(FIND(D104,角色MOD表[属性]))),0),2),INDEX(武器MOD表[],MATCH(1,(武器MOD表[名称]=A104)*(武器MOD表[品质]=E104)*((武器MOD表[类型]=C104)+(武器MOD表[限定]=C104)),0),2))</f>
        <v>异化冥犬</v>
      </c>
    </row>
    <row r="105" spans="1:7">
      <c r="A105" s="9" t="s">
        <v>720</v>
      </c>
      <c r="B105" s="50" t="s">
        <v>813</v>
      </c>
      <c r="C105" t="s">
        <v>732</v>
      </c>
      <c r="E105" s="9" t="s">
        <v>780</v>
      </c>
      <c r="F105" s="4">
        <f>SUM(_xlfn.MAP(_xlfn.SEQUENCE(4),_xlfn.LAMBDA(_xlpm.i,POWER(36,4-_xlpm.i)*_xlfn.MAP(MID(代码表[[#This Row],[代码]],_xlpm.i,1),_xlfn.LAMBDA(_xlpm.a,IF(CODE(_xlpm.a)&gt;64,CODE(_xlpm.a)-55,CODE(_xlpm.a)-48))))))</f>
        <v>24102</v>
      </c>
      <c r="G105" s="10" t="str">
        <f t="array" ref="G105">IFERROR(INDEX(角色MOD表[],MATCH(1,(角色MOD表[名称]=A105)*(角色MOD表[品质]=E105)*IF(D105="",1,(角色MOD表[属性]="")+ISNUMBER(FIND(D105,角色MOD表[属性]))),0),2),INDEX(武器MOD表[],MATCH(1,(武器MOD表[名称]=A105)*(武器MOD表[品质]=E105)*((武器MOD表[类型]=C105)+(武器MOD表[限定]=C105)),0),2))</f>
        <v>异化冥犬</v>
      </c>
    </row>
    <row r="106" spans="1:7">
      <c r="A106" s="9" t="s">
        <v>722</v>
      </c>
      <c r="B106" s="50" t="s">
        <v>814</v>
      </c>
      <c r="C106" t="s">
        <v>732</v>
      </c>
      <c r="E106" s="9" t="s">
        <v>780</v>
      </c>
      <c r="F106" s="4">
        <f>SUM(_xlfn.MAP(_xlfn.SEQUENCE(4),_xlfn.LAMBDA(_xlpm.i,POWER(36,4-_xlpm.i)*_xlfn.MAP(MID(代码表[[#This Row],[代码]],_xlpm.i,1),_xlfn.LAMBDA(_xlpm.a,IF(CODE(_xlpm.a)&gt;64,CODE(_xlpm.a)-55,CODE(_xlpm.a)-48))))))</f>
        <v>24103</v>
      </c>
      <c r="G106" s="10" t="str">
        <f t="array" ref="G106">IFERROR(INDEX(角色MOD表[],MATCH(1,(角色MOD表[名称]=A106)*(角色MOD表[品质]=E106)*IF(D106="",1,(角色MOD表[属性]="")+ISNUMBER(FIND(D106,角色MOD表[属性]))),0),2),INDEX(武器MOD表[],MATCH(1,(武器MOD表[名称]=A106)*(武器MOD表[品质]=E106)*((武器MOD表[类型]=C106)+(武器MOD表[限定]=C106)),0),2))</f>
        <v>异化冥犬</v>
      </c>
    </row>
    <row r="107" spans="1:7">
      <c r="A107" t="s">
        <v>713</v>
      </c>
      <c r="B107" s="50" t="s">
        <v>815</v>
      </c>
      <c r="C107" t="s">
        <v>738</v>
      </c>
      <c r="E107" s="9" t="s">
        <v>780</v>
      </c>
      <c r="F107" s="4">
        <f>SUM(_xlfn.MAP(_xlfn.SEQUENCE(4),_xlfn.LAMBDA(_xlpm.i,POWER(36,4-_xlpm.i)*_xlfn.MAP(MID(代码表[[#This Row],[代码]],_xlpm.i,1),_xlfn.LAMBDA(_xlpm.a,IF(CODE(_xlpm.a)&gt;64,CODE(_xlpm.a)-55,CODE(_xlpm.a)-48))))))</f>
        <v>25001</v>
      </c>
      <c r="G107" s="10" t="str">
        <f t="array" ref="G107">IFERROR(INDEX(角色MOD表[],MATCH(1,(角色MOD表[名称]=A107)*(角色MOD表[品质]=E107)*IF(D107="",1,(角色MOD表[属性]="")+ISNUMBER(FIND(D107,角色MOD表[属性]))),0),2),INDEX(武器MOD表[],MATCH(1,(武器MOD表[名称]=A107)*(武器MOD表[品质]=E107)*((武器MOD表[类型]=C107)+(武器MOD表[限定]=C107)),0),2))</f>
        <v>异化夜魔</v>
      </c>
    </row>
    <row r="108" spans="1:7">
      <c r="A108" t="s">
        <v>177</v>
      </c>
      <c r="B108" s="50" t="s">
        <v>816</v>
      </c>
      <c r="C108" t="s">
        <v>738</v>
      </c>
      <c r="E108" s="9" t="s">
        <v>780</v>
      </c>
      <c r="F108" s="4">
        <f>SUM(_xlfn.MAP(_xlfn.SEQUENCE(4),_xlfn.LAMBDA(_xlpm.i,POWER(36,4-_xlpm.i)*_xlfn.MAP(MID(代码表[[#This Row],[代码]],_xlpm.i,1),_xlfn.LAMBDA(_xlpm.a,IF(CODE(_xlpm.a)&gt;64,CODE(_xlpm.a)-55,CODE(_xlpm.a)-48))))))</f>
        <v>25002</v>
      </c>
      <c r="G108" s="10" t="str">
        <f t="array" ref="G108">IFERROR(INDEX(角色MOD表[],MATCH(1,(角色MOD表[名称]=A108)*(角色MOD表[品质]=E108)*IF(D108="",1,(角色MOD表[属性]="")+ISNUMBER(FIND(D108,角色MOD表[属性]))),0),2),INDEX(武器MOD表[],MATCH(1,(武器MOD表[名称]=A108)*(武器MOD表[品质]=E108)*((武器MOD表[类型]=C108)+(武器MOD表[限定]=C108)),0),2))</f>
        <v>异化夜魔</v>
      </c>
    </row>
    <row r="109" spans="1:7">
      <c r="A109" t="s">
        <v>154</v>
      </c>
      <c r="B109" s="50" t="s">
        <v>817</v>
      </c>
      <c r="C109" t="s">
        <v>738</v>
      </c>
      <c r="E109" s="9" t="s">
        <v>780</v>
      </c>
      <c r="F109" s="4">
        <f>SUM(_xlfn.MAP(_xlfn.SEQUENCE(4),_xlfn.LAMBDA(_xlpm.i,POWER(36,4-_xlpm.i)*_xlfn.MAP(MID(代码表[[#This Row],[代码]],_xlpm.i,1),_xlfn.LAMBDA(_xlpm.a,IF(CODE(_xlpm.a)&gt;64,CODE(_xlpm.a)-55,CODE(_xlpm.a)-48))))))</f>
        <v>25003</v>
      </c>
      <c r="G109" s="10" t="str">
        <f t="array" ref="G109">IFERROR(INDEX(角色MOD表[],MATCH(1,(角色MOD表[名称]=A109)*(角色MOD表[品质]=E109)*IF(D109="",1,(角色MOD表[属性]="")+ISNUMBER(FIND(D109,角色MOD表[属性]))),0),2),INDEX(武器MOD表[],MATCH(1,(武器MOD表[名称]=A109)*(武器MOD表[品质]=E109)*((武器MOD表[类型]=C109)+(武器MOD表[限定]=C109)),0),2))</f>
        <v>异化夜魔</v>
      </c>
    </row>
    <row r="110" spans="1:7">
      <c r="A110" t="s">
        <v>153</v>
      </c>
      <c r="B110" s="50" t="s">
        <v>818</v>
      </c>
      <c r="C110" t="s">
        <v>738</v>
      </c>
      <c r="E110" s="9" t="s">
        <v>780</v>
      </c>
      <c r="F110" s="4">
        <f>SUM(_xlfn.MAP(_xlfn.SEQUENCE(4),_xlfn.LAMBDA(_xlpm.i,POWER(36,4-_xlpm.i)*_xlfn.MAP(MID(代码表[[#This Row],[代码]],_xlpm.i,1),_xlfn.LAMBDA(_xlpm.a,IF(CODE(_xlpm.a)&gt;64,CODE(_xlpm.a)-55,CODE(_xlpm.a)-48))))))</f>
        <v>25004</v>
      </c>
      <c r="G110" s="10" t="str">
        <f t="array" ref="G110">IFERROR(INDEX(角色MOD表[],MATCH(1,(角色MOD表[名称]=A110)*(角色MOD表[品质]=E110)*IF(D110="",1,(角色MOD表[属性]="")+ISNUMBER(FIND(D110,角色MOD表[属性]))),0),2),INDEX(武器MOD表[],MATCH(1,(武器MOD表[名称]=A110)*(武器MOD表[品质]=E110)*((武器MOD表[类型]=C110)+(武器MOD表[限定]=C110)),0),2))</f>
        <v>异化夜魔</v>
      </c>
    </row>
    <row r="111" spans="1:7">
      <c r="A111" t="s">
        <v>173</v>
      </c>
      <c r="B111" s="50" t="s">
        <v>819</v>
      </c>
      <c r="C111" t="s">
        <v>738</v>
      </c>
      <c r="E111" s="9" t="s">
        <v>780</v>
      </c>
      <c r="F111" s="4">
        <f>SUM(_xlfn.MAP(_xlfn.SEQUENCE(4),_xlfn.LAMBDA(_xlpm.i,POWER(36,4-_xlpm.i)*_xlfn.MAP(MID(代码表[[#This Row],[代码]],_xlpm.i,1),_xlfn.LAMBDA(_xlpm.a,IF(CODE(_xlpm.a)&gt;64,CODE(_xlpm.a)-55,CODE(_xlpm.a)-48))))))</f>
        <v>25005</v>
      </c>
      <c r="G111" s="10" t="str">
        <f t="array" ref="G111">IFERROR(INDEX(角色MOD表[],MATCH(1,(角色MOD表[名称]=A111)*(角色MOD表[品质]=E111)*IF(D111="",1,(角色MOD表[属性]="")+ISNUMBER(FIND(D111,角色MOD表[属性]))),0),2),INDEX(武器MOD表[],MATCH(1,(武器MOD表[名称]=A111)*(武器MOD表[品质]=E111)*((武器MOD表[类型]=C111)+(武器MOD表[限定]=C111)),0),2))</f>
        <v>异化夜魔</v>
      </c>
    </row>
    <row r="112" spans="1:7">
      <c r="A112" t="s">
        <v>717</v>
      </c>
      <c r="B112" s="50" t="s">
        <v>820</v>
      </c>
      <c r="C112" t="s">
        <v>738</v>
      </c>
      <c r="E112" s="9" t="s">
        <v>780</v>
      </c>
      <c r="F112" s="4">
        <f>SUM(_xlfn.MAP(_xlfn.SEQUENCE(4),_xlfn.LAMBDA(_xlpm.i,POWER(36,4-_xlpm.i)*_xlfn.MAP(MID(代码表[[#This Row],[代码]],_xlpm.i,1),_xlfn.LAMBDA(_xlpm.a,IF(CODE(_xlpm.a)&gt;64,CODE(_xlpm.a)-55,CODE(_xlpm.a)-48))))))</f>
        <v>25006</v>
      </c>
      <c r="G112" s="10" t="str">
        <f t="array" ref="G112">IFERROR(INDEX(角色MOD表[],MATCH(1,(角色MOD表[名称]=A112)*(角色MOD表[品质]=E112)*IF(D112="",1,(角色MOD表[属性]="")+ISNUMBER(FIND(D112,角色MOD表[属性]))),0),2),INDEX(武器MOD表[],MATCH(1,(武器MOD表[名称]=A112)*(武器MOD表[品质]=E112)*((武器MOD表[类型]=C112)+(武器MOD表[限定]=C112)),0),2))</f>
        <v>异化夜魔</v>
      </c>
    </row>
    <row r="113" spans="1:7">
      <c r="A113" t="s">
        <v>155</v>
      </c>
      <c r="B113" s="50" t="s">
        <v>821</v>
      </c>
      <c r="C113" t="s">
        <v>738</v>
      </c>
      <c r="E113" s="9" t="s">
        <v>780</v>
      </c>
      <c r="F113" s="4">
        <f>SUM(_xlfn.MAP(_xlfn.SEQUENCE(4),_xlfn.LAMBDA(_xlpm.i,POWER(36,4-_xlpm.i)*_xlfn.MAP(MID(代码表[[#This Row],[代码]],_xlpm.i,1),_xlfn.LAMBDA(_xlpm.a,IF(CODE(_xlpm.a)&gt;64,CODE(_xlpm.a)-55,CODE(_xlpm.a)-48))))))</f>
        <v>25101</v>
      </c>
      <c r="G113" s="10" t="str">
        <f t="array" ref="G113">IFERROR(INDEX(角色MOD表[],MATCH(1,(角色MOD表[名称]=A113)*(角色MOD表[品质]=E113)*IF(D113="",1,(角色MOD表[属性]="")+ISNUMBER(FIND(D113,角色MOD表[属性]))),0),2),INDEX(武器MOD表[],MATCH(1,(武器MOD表[名称]=A113)*(武器MOD表[品质]=E113)*((武器MOD表[类型]=C113)+(武器MOD表[限定]=C113)),0),2))</f>
        <v>异化夜魔</v>
      </c>
    </row>
    <row r="114" spans="1:7">
      <c r="A114" s="9" t="s">
        <v>720</v>
      </c>
      <c r="B114" s="50" t="s">
        <v>822</v>
      </c>
      <c r="C114" t="s">
        <v>738</v>
      </c>
      <c r="E114" s="9" t="s">
        <v>780</v>
      </c>
      <c r="F114" s="4">
        <f>SUM(_xlfn.MAP(_xlfn.SEQUENCE(4),_xlfn.LAMBDA(_xlpm.i,POWER(36,4-_xlpm.i)*_xlfn.MAP(MID(代码表[[#This Row],[代码]],_xlpm.i,1),_xlfn.LAMBDA(_xlpm.a,IF(CODE(_xlpm.a)&gt;64,CODE(_xlpm.a)-55,CODE(_xlpm.a)-48))))))</f>
        <v>25102</v>
      </c>
      <c r="G114" s="10" t="str">
        <f t="array" ref="G114">IFERROR(INDEX(角色MOD表[],MATCH(1,(角色MOD表[名称]=A114)*(角色MOD表[品质]=E114)*IF(D114="",1,(角色MOD表[属性]="")+ISNUMBER(FIND(D114,角色MOD表[属性]))),0),2),INDEX(武器MOD表[],MATCH(1,(武器MOD表[名称]=A114)*(武器MOD表[品质]=E114)*((武器MOD表[类型]=C114)+(武器MOD表[限定]=C114)),0),2))</f>
        <v>异化夜魔</v>
      </c>
    </row>
    <row r="115" spans="1:7">
      <c r="A115" s="9" t="s">
        <v>722</v>
      </c>
      <c r="B115" s="50" t="s">
        <v>823</v>
      </c>
      <c r="C115" t="s">
        <v>738</v>
      </c>
      <c r="E115" s="9" t="s">
        <v>780</v>
      </c>
      <c r="F115" s="4">
        <f>SUM(_xlfn.MAP(_xlfn.SEQUENCE(4),_xlfn.LAMBDA(_xlpm.i,POWER(36,4-_xlpm.i)*_xlfn.MAP(MID(代码表[[#This Row],[代码]],_xlpm.i,1),_xlfn.LAMBDA(_xlpm.a,IF(CODE(_xlpm.a)&gt;64,CODE(_xlpm.a)-55,CODE(_xlpm.a)-48))))))</f>
        <v>25103</v>
      </c>
      <c r="G115" s="10" t="str">
        <f t="array" ref="G115">IFERROR(INDEX(角色MOD表[],MATCH(1,(角色MOD表[名称]=A115)*(角色MOD表[品质]=E115)*IF(D115="",1,(角色MOD表[属性]="")+ISNUMBER(FIND(D115,角色MOD表[属性]))),0),2),INDEX(武器MOD表[],MATCH(1,(武器MOD表[名称]=A115)*(武器MOD表[品质]=E115)*((武器MOD表[类型]=C115)+(武器MOD表[限定]=C115)),0),2))</f>
        <v>异化夜魔</v>
      </c>
    </row>
    <row r="116" spans="1:7">
      <c r="A116" t="s">
        <v>702</v>
      </c>
      <c r="B116" s="50" t="s">
        <v>824</v>
      </c>
      <c r="C116" t="s">
        <v>16</v>
      </c>
      <c r="E116" t="s">
        <v>825</v>
      </c>
      <c r="F116">
        <f t="array" ref="F116">SUM(_xlfn.MAP(_xlfn.SEQUENCE(4),_xlfn.LAMBDA(_xlpm.i,POWER(36,4-_xlpm.i)*_xlfn.MAP(MID(代码表[[#This Row],[代码]],_xlpm.i,1),_xlfn.LAMBDA(_xlpm.a,IF(CODE(_xlpm.a)&gt;64,CODE(_xlpm.a)-55,CODE(_xlpm.a)-48))))))</f>
        <v>31001</v>
      </c>
      <c r="G116" s="10" t="str">
        <f t="array" ref="G116">IFERROR(INDEX(角色MOD表[],MATCH(1,(角色MOD表[名称]=A116)*(角色MOD表[品质]=E116)*IF(D116="",1,(角色MOD表[属性]="")+ISNUMBER(FIND(D116,角色MOD表[属性]))),0),2),INDEX(武器MOD表[],MATCH(1,(武器MOD表[名称]=A116)*(武器MOD表[品质]=E116)*((武器MOD表[类型]=C116)+(武器MOD表[限定]=C116)),0),2))</f>
        <v>不死鸟</v>
      </c>
    </row>
    <row r="117" spans="1:7">
      <c r="A117" s="9" t="s">
        <v>705</v>
      </c>
      <c r="B117" s="50" t="s">
        <v>826</v>
      </c>
      <c r="C117" t="s">
        <v>16</v>
      </c>
      <c r="E117" t="s">
        <v>825</v>
      </c>
      <c r="F117">
        <f t="array" ref="F117">SUM(_xlfn.MAP(_xlfn.SEQUENCE(4),_xlfn.LAMBDA(_xlpm.i,POWER(36,4-_xlpm.i)*_xlfn.MAP(MID(代码表[[#This Row],[代码]],_xlpm.i,1),_xlfn.LAMBDA(_xlpm.a,IF(CODE(_xlpm.a)&gt;64,CODE(_xlpm.a)-55,CODE(_xlpm.a)-48))))))</f>
        <v>31002</v>
      </c>
      <c r="G117" s="10" t="str">
        <f t="array" ref="G117">IFERROR(INDEX(角色MOD表[],MATCH(1,(角色MOD表[名称]=A117)*(角色MOD表[品质]=E117)*IF(D117="",1,(角色MOD表[属性]="")+ISNUMBER(FIND(D117,角色MOD表[属性]))),0),2),INDEX(武器MOD表[],MATCH(1,(武器MOD表[名称]=A117)*(武器MOD表[品质]=E117)*((武器MOD表[类型]=C117)+(武器MOD表[限定]=C117)),0),2))</f>
        <v>不死鸟</v>
      </c>
    </row>
    <row r="118" spans="1:7">
      <c r="A118" t="s">
        <v>707</v>
      </c>
      <c r="B118" s="50" t="s">
        <v>827</v>
      </c>
      <c r="C118" t="s">
        <v>16</v>
      </c>
      <c r="E118" t="s">
        <v>825</v>
      </c>
      <c r="F118">
        <f t="array" ref="F118">SUM(_xlfn.MAP(_xlfn.SEQUENCE(4),_xlfn.LAMBDA(_xlpm.i,POWER(36,4-_xlpm.i)*_xlfn.MAP(MID(代码表[[#This Row],[代码]],_xlpm.i,1),_xlfn.LAMBDA(_xlpm.a,IF(CODE(_xlpm.a)&gt;64,CODE(_xlpm.a)-55,CODE(_xlpm.a)-48))))))</f>
        <v>31003</v>
      </c>
      <c r="G118" s="10" t="str">
        <f t="array" ref="G118">IFERROR(INDEX(角色MOD表[],MATCH(1,(角色MOD表[名称]=A118)*(角色MOD表[品质]=E118)*IF(D118="",1,(角色MOD表[属性]="")+ISNUMBER(FIND(D118,角色MOD表[属性]))),0),2),INDEX(武器MOD表[],MATCH(1,(武器MOD表[名称]=A118)*(武器MOD表[品质]=E118)*((武器MOD表[类型]=C118)+(武器MOD表[限定]=C118)),0),2))</f>
        <v>不死鸟</v>
      </c>
    </row>
    <row r="119" spans="1:7">
      <c r="A119" t="s">
        <v>709</v>
      </c>
      <c r="B119" s="50" t="s">
        <v>828</v>
      </c>
      <c r="C119" t="s">
        <v>16</v>
      </c>
      <c r="E119" t="s">
        <v>825</v>
      </c>
      <c r="F119">
        <f t="array" ref="F119">SUM(_xlfn.MAP(_xlfn.SEQUENCE(4),_xlfn.LAMBDA(_xlpm.i,POWER(36,4-_xlpm.i)*_xlfn.MAP(MID(代码表[[#This Row],[代码]],_xlpm.i,1),_xlfn.LAMBDA(_xlpm.a,IF(CODE(_xlpm.a)&gt;64,CODE(_xlpm.a)-55,CODE(_xlpm.a)-48))))))</f>
        <v>31004</v>
      </c>
      <c r="G119" s="10" t="str">
        <f t="array" ref="G119">IFERROR(INDEX(角色MOD表[],MATCH(1,(角色MOD表[名称]=A119)*(角色MOD表[品质]=E119)*IF(D119="",1,(角色MOD表[属性]="")+ISNUMBER(FIND(D119,角色MOD表[属性]))),0),2),INDEX(武器MOD表[],MATCH(1,(武器MOD表[名称]=A119)*(武器MOD表[品质]=E119)*((武器MOD表[类型]=C119)+(武器MOD表[限定]=C119)),0),2))</f>
        <v>不死鸟</v>
      </c>
    </row>
    <row r="120" spans="1:7">
      <c r="A120" t="s">
        <v>778</v>
      </c>
      <c r="B120" s="50" t="s">
        <v>829</v>
      </c>
      <c r="C120" t="s">
        <v>16</v>
      </c>
      <c r="E120" t="s">
        <v>825</v>
      </c>
      <c r="F120">
        <f t="array" ref="F120">SUM(_xlfn.MAP(_xlfn.SEQUENCE(4),_xlfn.LAMBDA(_xlpm.i,POWER(36,4-_xlpm.i)*_xlfn.MAP(MID(代码表[[#This Row],[代码]],_xlpm.i,1),_xlfn.LAMBDA(_xlpm.a,IF(CODE(_xlpm.a)&gt;64,CODE(_xlpm.a)-55,CODE(_xlpm.a)-48))))))</f>
        <v>31005</v>
      </c>
      <c r="G120" s="10" t="str">
        <f t="array" ref="G120">IFERROR(INDEX(角色MOD表[],MATCH(1,(角色MOD表[名称]=A120)*(角色MOD表[品质]=E120)*IF(D120="",1,(角色MOD表[属性]="")+ISNUMBER(FIND(D120,角色MOD表[属性]))),0),2),INDEX(武器MOD表[],MATCH(1,(武器MOD表[名称]=A120)*(武器MOD表[品质]=E120)*((武器MOD表[类型]=C120)+(武器MOD表[限定]=C120)),0),2))</f>
        <v>不死鸟</v>
      </c>
    </row>
    <row r="121" spans="1:7">
      <c r="A121" t="s">
        <v>781</v>
      </c>
      <c r="B121" s="50" t="s">
        <v>830</v>
      </c>
      <c r="C121" t="s">
        <v>16</v>
      </c>
      <c r="E121" t="s">
        <v>825</v>
      </c>
      <c r="F121">
        <f t="array" ref="F121">SUM(_xlfn.MAP(_xlfn.SEQUENCE(4),_xlfn.LAMBDA(_xlpm.i,POWER(36,4-_xlpm.i)*_xlfn.MAP(MID(代码表[[#This Row],[代码]],_xlpm.i,1),_xlfn.LAMBDA(_xlpm.a,IF(CODE(_xlpm.a)&gt;64,CODE(_xlpm.a)-55,CODE(_xlpm.a)-48))))))</f>
        <v>31006</v>
      </c>
      <c r="G121" s="10" t="str">
        <f t="array" ref="G121">IFERROR(INDEX(角色MOD表[],MATCH(1,(角色MOD表[名称]=A121)*(角色MOD表[品质]=E121)*IF(D121="",1,(角色MOD表[属性]="")+ISNUMBER(FIND(D121,角色MOD表[属性]))),0),2),INDEX(武器MOD表[],MATCH(1,(武器MOD表[名称]=A121)*(武器MOD表[品质]=E121)*((武器MOD表[类型]=C121)+(武器MOD表[限定]=C121)),0),2))</f>
        <v>不死鸟</v>
      </c>
    </row>
    <row r="122" spans="1:7">
      <c r="A122" t="s">
        <v>711</v>
      </c>
      <c r="B122" s="50" t="s">
        <v>831</v>
      </c>
      <c r="C122" t="s">
        <v>16</v>
      </c>
      <c r="D122"/>
      <c r="E122" t="s">
        <v>825</v>
      </c>
      <c r="F122">
        <f t="array" ref="F122">SUM(_xlfn.MAP(_xlfn.SEQUENCE(4),_xlfn.LAMBDA(_xlpm.i,POWER(36,4-_xlpm.i)*_xlfn.MAP(MID(代码表[[#This Row],[代码]],_xlpm.i,1),_xlfn.LAMBDA(_xlpm.a,IF(CODE(_xlpm.a)&gt;64,CODE(_xlpm.a)-55,CODE(_xlpm.a)-48))))))</f>
        <v>31007</v>
      </c>
      <c r="G122" s="10" t="str">
        <f t="array" ref="G122">IFERROR(INDEX(角色MOD表[],MATCH(1,(角色MOD表[名称]=A122)*(角色MOD表[品质]=E122)*IF(D122="",1,(角色MOD表[属性]="")+ISNUMBER(FIND(D122,角色MOD表[属性]))),0),2),INDEX(武器MOD表[],MATCH(1,(武器MOD表[名称]=A122)*(武器MOD表[品质]=E122)*((武器MOD表[类型]=C122)+(武器MOD表[限定]=C122)),0),2))</f>
        <v>不死鸟</v>
      </c>
    </row>
    <row r="123" spans="1:7">
      <c r="A123" t="s">
        <v>28</v>
      </c>
      <c r="B123" s="50" t="s">
        <v>832</v>
      </c>
      <c r="C123" t="s">
        <v>16</v>
      </c>
      <c r="E123" t="s">
        <v>825</v>
      </c>
      <c r="F123">
        <f t="array" ref="F123">SUM(_xlfn.MAP(_xlfn.SEQUENCE(4),_xlfn.LAMBDA(_xlpm.i,POWER(36,4-_xlpm.i)*_xlfn.MAP(MID(代码表[[#This Row],[代码]],_xlpm.i,1),_xlfn.LAMBDA(_xlpm.a,IF(CODE(_xlpm.a)&gt;64,CODE(_xlpm.a)-55,CODE(_xlpm.a)-48))))))</f>
        <v>31008</v>
      </c>
      <c r="G123" s="10" t="str">
        <f t="array" ref="G123">IFERROR(INDEX(角色MOD表[],MATCH(1,(角色MOD表[名称]=A123)*(角色MOD表[品质]=E123)*IF(D123="",1,(角色MOD表[属性]="")+ISNUMBER(FIND(D123,角色MOD表[属性]))),0),2),INDEX(武器MOD表[],MATCH(1,(武器MOD表[名称]=A123)*(武器MOD表[品质]=E123)*((武器MOD表[类型]=C123)+(武器MOD表[限定]=C123)),0),2))</f>
        <v>不死鸟</v>
      </c>
    </row>
    <row r="124" spans="1:7">
      <c r="A124" t="s">
        <v>833</v>
      </c>
      <c r="B124" s="50" t="s">
        <v>834</v>
      </c>
      <c r="C124" t="s">
        <v>16</v>
      </c>
      <c r="E124" t="s">
        <v>825</v>
      </c>
      <c r="F124">
        <f t="array" ref="F124">SUM(_xlfn.MAP(_xlfn.SEQUENCE(4),_xlfn.LAMBDA(_xlpm.i,POWER(36,4-_xlpm.i)*_xlfn.MAP(MID(代码表[[#This Row],[代码]],_xlpm.i,1),_xlfn.LAMBDA(_xlpm.a,IF(CODE(_xlpm.a)&gt;64,CODE(_xlpm.a)-55,CODE(_xlpm.a)-48))))))</f>
        <v>31009</v>
      </c>
      <c r="G124" s="10" t="str">
        <f t="array" ref="G124">IFERROR(INDEX(角色MOD表[],MATCH(1,(角色MOD表[名称]=A124)*(角色MOD表[品质]=E124)*IF(D124="",1,(角色MOD表[属性]="")+ISNUMBER(FIND(D124,角色MOD表[属性]))),0),2),INDEX(武器MOD表[],MATCH(1,(武器MOD表[名称]=A124)*(武器MOD表[品质]=E124)*((武器MOD表[类型]=C124)+(武器MOD表[限定]=C124)),0),2))</f>
        <v>不死鸟</v>
      </c>
    </row>
    <row r="125" spans="1:7">
      <c r="A125" t="s">
        <v>15</v>
      </c>
      <c r="B125" s="50" t="s">
        <v>835</v>
      </c>
      <c r="C125" t="s">
        <v>16</v>
      </c>
      <c r="E125" t="s">
        <v>825</v>
      </c>
      <c r="F125">
        <f t="array" ref="F125">SUM(_xlfn.MAP(_xlfn.SEQUENCE(4),_xlfn.LAMBDA(_xlpm.i,POWER(36,4-_xlpm.i)*_xlfn.MAP(MID(代码表[[#This Row],[代码]],_xlpm.i,1),_xlfn.LAMBDA(_xlpm.a,IF(CODE(_xlpm.a)&gt;64,CODE(_xlpm.a)-55,CODE(_xlpm.a)-48))))))</f>
        <v>31010</v>
      </c>
      <c r="G125" s="10" t="str">
        <f t="array" ref="G125">IFERROR(INDEX(角色MOD表[],MATCH(1,(角色MOD表[名称]=A125)*(角色MOD表[品质]=E125)*IF(D125="",1,(角色MOD表[属性]="")+ISNUMBER(FIND(D125,角色MOD表[属性]))),0),2),INDEX(武器MOD表[],MATCH(1,(武器MOD表[名称]=A125)*(武器MOD表[品质]=E125)*((武器MOD表[类型]=C125)+(武器MOD表[限定]=C125)),0),2))</f>
        <v>不死鸟</v>
      </c>
    </row>
    <row r="126" spans="1:7">
      <c r="A126" t="s">
        <v>836</v>
      </c>
      <c r="B126" s="50" t="s">
        <v>837</v>
      </c>
      <c r="C126" t="s">
        <v>16</v>
      </c>
      <c r="E126" t="s">
        <v>825</v>
      </c>
      <c r="F126">
        <f t="array" ref="F126">SUM(_xlfn.MAP(_xlfn.SEQUENCE(4),_xlfn.LAMBDA(_xlpm.i,POWER(36,4-_xlpm.i)*_xlfn.MAP(MID(代码表[[#This Row],[代码]],_xlpm.i,1),_xlfn.LAMBDA(_xlpm.a,IF(CODE(_xlpm.a)&gt;64,CODE(_xlpm.a)-55,CODE(_xlpm.a)-48))))))</f>
        <v>31011</v>
      </c>
      <c r="G126" s="10" t="str">
        <f t="array" ref="G126">IFERROR(INDEX(角色MOD表[],MATCH(1,(角色MOD表[名称]=A126)*(角色MOD表[品质]=E126)*IF(D126="",1,(角色MOD表[属性]="")+ISNUMBER(FIND(D126,角色MOD表[属性]))),0),2),INDEX(武器MOD表[],MATCH(1,(武器MOD表[名称]=A126)*(武器MOD表[品质]=E126)*((武器MOD表[类型]=C126)+(武器MOD表[限定]=C126)),0),2))</f>
        <v>不死鸟</v>
      </c>
    </row>
    <row r="127" spans="1:7">
      <c r="A127" t="s">
        <v>838</v>
      </c>
      <c r="B127" s="50" t="s">
        <v>839</v>
      </c>
      <c r="C127" t="s">
        <v>16</v>
      </c>
      <c r="E127" t="s">
        <v>825</v>
      </c>
      <c r="F127">
        <f t="array" ref="F127">SUM(_xlfn.MAP(_xlfn.SEQUENCE(4),_xlfn.LAMBDA(_xlpm.i,POWER(36,4-_xlpm.i)*_xlfn.MAP(MID(代码表[[#This Row],[代码]],_xlpm.i,1),_xlfn.LAMBDA(_xlpm.a,IF(CODE(_xlpm.a)&gt;64,CODE(_xlpm.a)-55,CODE(_xlpm.a)-48))))))</f>
        <v>31012</v>
      </c>
      <c r="G127" s="10" t="str">
        <f t="array" ref="G127">IFERROR(INDEX(角色MOD表[],MATCH(1,(角色MOD表[名称]=A127)*(角色MOD表[品质]=E127)*IF(D127="",1,(角色MOD表[属性]="")+ISNUMBER(FIND(D127,角色MOD表[属性]))),0),2),INDEX(武器MOD表[],MATCH(1,(武器MOD表[名称]=A127)*(武器MOD表[品质]=E127)*((武器MOD表[类型]=C127)+(武器MOD表[限定]=C127)),0),2))</f>
        <v>不死鸟</v>
      </c>
    </row>
    <row r="128" spans="1:7">
      <c r="A128" t="s">
        <v>840</v>
      </c>
      <c r="B128" s="50" t="s">
        <v>841</v>
      </c>
      <c r="C128" t="s">
        <v>16</v>
      </c>
      <c r="E128" t="s">
        <v>825</v>
      </c>
      <c r="F128">
        <f t="array" ref="F128">SUM(_xlfn.MAP(_xlfn.SEQUENCE(4),_xlfn.LAMBDA(_xlpm.i,POWER(36,4-_xlpm.i)*_xlfn.MAP(MID(代码表[[#This Row],[代码]],_xlpm.i,1),_xlfn.LAMBDA(_xlpm.a,IF(CODE(_xlpm.a)&gt;64,CODE(_xlpm.a)-55,CODE(_xlpm.a)-48))))))</f>
        <v>31013</v>
      </c>
      <c r="G128" s="10" t="str">
        <f t="array" ref="G128">IFERROR(INDEX(角色MOD表[],MATCH(1,(角色MOD表[名称]=A128)*(角色MOD表[品质]=E128)*IF(D128="",1,(角色MOD表[属性]="")+ISNUMBER(FIND(D128,角色MOD表[属性]))),0),2),INDEX(武器MOD表[],MATCH(1,(武器MOD表[名称]=A128)*(武器MOD表[品质]=E128)*((武器MOD表[类型]=C128)+(武器MOD表[限定]=C128)),0),2))</f>
        <v>不死鸟</v>
      </c>
    </row>
    <row r="129" spans="1:7">
      <c r="A129" t="s">
        <v>842</v>
      </c>
      <c r="B129" s="50" t="s">
        <v>843</v>
      </c>
      <c r="C129" t="s">
        <v>16</v>
      </c>
      <c r="E129" t="s">
        <v>825</v>
      </c>
      <c r="F129">
        <f t="array" ref="F129">SUM(_xlfn.MAP(_xlfn.SEQUENCE(4),_xlfn.LAMBDA(_xlpm.i,POWER(36,4-_xlpm.i)*_xlfn.MAP(MID(代码表[[#This Row],[代码]],_xlpm.i,1),_xlfn.LAMBDA(_xlpm.a,IF(CODE(_xlpm.a)&gt;64,CODE(_xlpm.a)-55,CODE(_xlpm.a)-48))))))</f>
        <v>31014</v>
      </c>
      <c r="G129" s="10" t="str">
        <f t="array" ref="G129">IFERROR(INDEX(角色MOD表[],MATCH(1,(角色MOD表[名称]=A129)*(角色MOD表[品质]=E129)*IF(D129="",1,(角色MOD表[属性]="")+ISNUMBER(FIND(D129,角色MOD表[属性]))),0),2),INDEX(武器MOD表[],MATCH(1,(武器MOD表[名称]=A129)*(武器MOD表[品质]=E129)*((武器MOD表[类型]=C129)+(武器MOD表[限定]=C129)),0),2))</f>
        <v>不死鸟</v>
      </c>
    </row>
    <row r="130" spans="1:7">
      <c r="A130" t="s">
        <v>844</v>
      </c>
      <c r="B130" s="50" t="s">
        <v>845</v>
      </c>
      <c r="C130" t="s">
        <v>16</v>
      </c>
      <c r="E130" t="s">
        <v>825</v>
      </c>
      <c r="F130">
        <f t="array" ref="F130">SUM(_xlfn.MAP(_xlfn.SEQUENCE(4),_xlfn.LAMBDA(_xlpm.i,POWER(36,4-_xlpm.i)*_xlfn.MAP(MID(代码表[[#This Row],[代码]],_xlpm.i,1),_xlfn.LAMBDA(_xlpm.a,IF(CODE(_xlpm.a)&gt;64,CODE(_xlpm.a)-55,CODE(_xlpm.a)-48))))))</f>
        <v>31015</v>
      </c>
      <c r="G130" s="10" t="str">
        <f t="array" ref="G130">IFERROR(INDEX(角色MOD表[],MATCH(1,(角色MOD表[名称]=A130)*(角色MOD表[品质]=E130)*IF(D130="",1,(角色MOD表[属性]="")+ISNUMBER(FIND(D130,角色MOD表[属性]))),0),2),INDEX(武器MOD表[],MATCH(1,(武器MOD表[名称]=A130)*(武器MOD表[品质]=E130)*((武器MOD表[类型]=C130)+(武器MOD表[限定]=C130)),0),2))</f>
        <v>不死鸟</v>
      </c>
    </row>
    <row r="131" spans="1:7">
      <c r="A131" t="s">
        <v>846</v>
      </c>
      <c r="B131" s="50" t="s">
        <v>847</v>
      </c>
      <c r="C131" t="s">
        <v>16</v>
      </c>
      <c r="E131" t="s">
        <v>825</v>
      </c>
      <c r="F131">
        <f t="array" ref="F131">SUM(_xlfn.MAP(_xlfn.SEQUENCE(4),_xlfn.LAMBDA(_xlpm.i,POWER(36,4-_xlpm.i)*_xlfn.MAP(MID(代码表[[#This Row],[代码]],_xlpm.i,1),_xlfn.LAMBDA(_xlpm.a,IF(CODE(_xlpm.a)&gt;64,CODE(_xlpm.a)-55,CODE(_xlpm.a)-48))))))</f>
        <v>31201</v>
      </c>
      <c r="G131" s="10" t="str">
        <f t="array" ref="G131">IFERROR(INDEX(角色MOD表[],MATCH(1,(角色MOD表[名称]=A131)*(角色MOD表[品质]=E131)*IF(D131="",1,(角色MOD表[属性]="")+ISNUMBER(FIND(D131,角色MOD表[属性]))),0),2),INDEX(武器MOD表[],MATCH(1,(武器MOD表[名称]=A131)*(武器MOD表[品质]=E131)*((武器MOD表[类型]=C131)+(武器MOD表[限定]=C131)),0),2))</f>
        <v>牧神</v>
      </c>
    </row>
    <row r="132" spans="1:7">
      <c r="A132" t="s">
        <v>848</v>
      </c>
      <c r="B132" s="50" t="s">
        <v>849</v>
      </c>
      <c r="C132" t="s">
        <v>16</v>
      </c>
      <c r="D132"/>
      <c r="E132" t="s">
        <v>825</v>
      </c>
      <c r="F132">
        <f t="array" ref="F132">SUM(_xlfn.MAP(_xlfn.SEQUENCE(4),_xlfn.LAMBDA(_xlpm.i,POWER(36,4-_xlpm.i)*_xlfn.MAP(MID(代码表[[#This Row],[代码]],_xlpm.i,1),_xlfn.LAMBDA(_xlpm.a,IF(CODE(_xlpm.a)&gt;64,CODE(_xlpm.a)-55,CODE(_xlpm.a)-48))))))</f>
        <v>31202</v>
      </c>
      <c r="G132" s="10" t="str">
        <f t="array" ref="G132">IFERROR(INDEX(角色MOD表[],MATCH(1,(角色MOD表[名称]=A132)*(角色MOD表[品质]=E132)*IF(D132="",1,(角色MOD表[属性]="")+ISNUMBER(FIND(D132,角色MOD表[属性]))),0),2),INDEX(武器MOD表[],MATCH(1,(武器MOD表[名称]=A132)*(武器MOD表[品质]=E132)*((武器MOD表[类型]=C132)+(武器MOD表[限定]=C132)),0),2))</f>
        <v>牧神</v>
      </c>
    </row>
    <row r="133" spans="1:7">
      <c r="A133" t="s">
        <v>850</v>
      </c>
      <c r="B133" s="50" t="s">
        <v>851</v>
      </c>
      <c r="C133" t="s">
        <v>16</v>
      </c>
      <c r="D133"/>
      <c r="E133" t="s">
        <v>825</v>
      </c>
      <c r="F133">
        <f t="array" ref="F133">SUM(_xlfn.MAP(_xlfn.SEQUENCE(4),_xlfn.LAMBDA(_xlpm.i,POWER(36,4-_xlpm.i)*_xlfn.MAP(MID(代码表[[#This Row],[代码]],_xlpm.i,1),_xlfn.LAMBDA(_xlpm.a,IF(CODE(_xlpm.a)&gt;64,CODE(_xlpm.a)-55,CODE(_xlpm.a)-48))))))</f>
        <v>31203</v>
      </c>
      <c r="G133" s="10" t="str">
        <f t="array" ref="G133">IFERROR(INDEX(角色MOD表[],MATCH(1,(角色MOD表[名称]=A133)*(角色MOD表[品质]=E133)*IF(D133="",1,(角色MOD表[属性]="")+ISNUMBER(FIND(D133,角色MOD表[属性]))),0),2),INDEX(武器MOD表[],MATCH(1,(武器MOD表[名称]=A133)*(武器MOD表[品质]=E133)*((武器MOD表[类型]=C133)+(武器MOD表[限定]=C133)),0),2))</f>
        <v>牧神</v>
      </c>
    </row>
    <row r="134" spans="1:7">
      <c r="A134" t="s">
        <v>852</v>
      </c>
      <c r="B134" s="50" t="s">
        <v>853</v>
      </c>
      <c r="C134" t="s">
        <v>16</v>
      </c>
      <c r="E134" t="s">
        <v>825</v>
      </c>
      <c r="F134">
        <f t="array" ref="F134">SUM(_xlfn.MAP(_xlfn.SEQUENCE(4),_xlfn.LAMBDA(_xlpm.i,POWER(36,4-_xlpm.i)*_xlfn.MAP(MID(代码表[[#This Row],[代码]],_xlpm.i,1),_xlfn.LAMBDA(_xlpm.a,IF(CODE(_xlpm.a)&gt;64,CODE(_xlpm.a)-55,CODE(_xlpm.a)-48))))))</f>
        <v>31204</v>
      </c>
      <c r="G134" s="10" t="str">
        <f t="array" ref="G134">IFERROR(INDEX(角色MOD表[],MATCH(1,(角色MOD表[名称]=A134)*(角色MOD表[品质]=E134)*IF(D134="",1,(角色MOD表[属性]="")+ISNUMBER(FIND(D134,角色MOD表[属性]))),0),2),INDEX(武器MOD表[],MATCH(1,(武器MOD表[名称]=A134)*(武器MOD表[品质]=E134)*((武器MOD表[类型]=C134)+(武器MOD表[限定]=C134)),0),2))</f>
        <v>牧神</v>
      </c>
    </row>
    <row r="135" spans="1:7">
      <c r="A135" t="s">
        <v>854</v>
      </c>
      <c r="B135" s="50" t="s">
        <v>855</v>
      </c>
      <c r="C135" t="s">
        <v>16</v>
      </c>
      <c r="E135" t="s">
        <v>825</v>
      </c>
      <c r="F135">
        <f t="array" ref="F135">SUM(_xlfn.MAP(_xlfn.SEQUENCE(4),_xlfn.LAMBDA(_xlpm.i,POWER(36,4-_xlpm.i)*_xlfn.MAP(MID(代码表[[#This Row],[代码]],_xlpm.i,1),_xlfn.LAMBDA(_xlpm.a,IF(CODE(_xlpm.a)&gt;64,CODE(_xlpm.a)-55,CODE(_xlpm.a)-48))))))</f>
        <v>31215</v>
      </c>
      <c r="G135" s="10" t="str">
        <f t="array" ref="G135">IFERROR(INDEX(角色MOD表[],MATCH(1,(角色MOD表[名称]=A135)*(角色MOD表[品质]=E135)*IF(D135="",1,(角色MOD表[属性]="")+ISNUMBER(FIND(D135,角色MOD表[属性]))),0),2),INDEX(武器MOD表[],MATCH(1,(武器MOD表[名称]=A135)*(武器MOD表[品质]=E135)*((武器MOD表[类型]=C135)+(武器MOD表[限定]=C135)),0),2))</f>
        <v>牧神</v>
      </c>
    </row>
    <row r="136" spans="1:7">
      <c r="A136" t="s">
        <v>856</v>
      </c>
      <c r="B136" s="50" t="s">
        <v>857</v>
      </c>
      <c r="C136" t="s">
        <v>16</v>
      </c>
      <c r="E136" t="s">
        <v>825</v>
      </c>
      <c r="F136">
        <f t="array" ref="F136">SUM(_xlfn.MAP(_xlfn.SEQUENCE(4),_xlfn.LAMBDA(_xlpm.i,POWER(36,4-_xlpm.i)*_xlfn.MAP(MID(代码表[[#This Row],[代码]],_xlpm.i,1),_xlfn.LAMBDA(_xlpm.a,IF(CODE(_xlpm.a)&gt;64,CODE(_xlpm.a)-55,CODE(_xlpm.a)-48))))))</f>
        <v>31216</v>
      </c>
      <c r="G136" s="10" t="str">
        <f t="array" ref="G136">IFERROR(INDEX(角色MOD表[],MATCH(1,(角色MOD表[名称]=A136)*(角色MOD表[品质]=E136)*IF(D136="",1,(角色MOD表[属性]="")+ISNUMBER(FIND(D136,角色MOD表[属性]))),0),2),INDEX(武器MOD表[],MATCH(1,(武器MOD表[名称]=A136)*(武器MOD表[品质]=E136)*((武器MOD表[类型]=C136)+(武器MOD表[限定]=C136)),0),2))</f>
        <v>牧神</v>
      </c>
    </row>
    <row r="137" spans="1:7">
      <c r="A137" t="s">
        <v>856</v>
      </c>
      <c r="B137" s="50" t="s">
        <v>857</v>
      </c>
      <c r="C137" t="s">
        <v>16</v>
      </c>
      <c r="E137" t="s">
        <v>825</v>
      </c>
      <c r="F137">
        <f t="array" ref="F137">SUM(_xlfn.MAP(_xlfn.SEQUENCE(4),_xlfn.LAMBDA(_xlpm.i,POWER(36,4-_xlpm.i)*_xlfn.MAP(MID(代码表[[#This Row],[代码]],_xlpm.i,1),_xlfn.LAMBDA(_xlpm.a,IF(CODE(_xlpm.a)&gt;64,CODE(_xlpm.a)-55,CODE(_xlpm.a)-48))))))</f>
        <v>31216</v>
      </c>
      <c r="G137" s="10" t="str">
        <f t="array" ref="G137">IFERROR(INDEX(角色MOD表[],MATCH(1,(角色MOD表[名称]=A137)*(角色MOD表[品质]=E137)*IF(D137="",1,(角色MOD表[属性]="")+ISNUMBER(FIND(D137,角色MOD表[属性]))),0),2),INDEX(武器MOD表[],MATCH(1,(武器MOD表[名称]=A137)*(武器MOD表[品质]=E137)*((武器MOD表[类型]=C137)+(武器MOD表[限定]=C137)),0),2))</f>
        <v>牧神</v>
      </c>
    </row>
    <row r="138" spans="1:7">
      <c r="A138" t="s">
        <v>858</v>
      </c>
      <c r="B138" s="50" t="s">
        <v>859</v>
      </c>
      <c r="C138" t="s">
        <v>16</v>
      </c>
      <c r="E138" t="s">
        <v>825</v>
      </c>
      <c r="F138">
        <f t="array" ref="F138">SUM(_xlfn.MAP(_xlfn.SEQUENCE(4),_xlfn.LAMBDA(_xlpm.i,POWER(36,4-_xlpm.i)*_xlfn.MAP(MID(代码表[[#This Row],[代码]],_xlpm.i,1),_xlfn.LAMBDA(_xlpm.a,IF(CODE(_xlpm.a)&gt;64,CODE(_xlpm.a)-55,CODE(_xlpm.a)-48))))))</f>
        <v>31217</v>
      </c>
      <c r="G138" s="10" t="str">
        <f t="array" ref="G138">IFERROR(INDEX(角色MOD表[],MATCH(1,(角色MOD表[名称]=A138)*(角色MOD表[品质]=E138)*IF(D138="",1,(角色MOD表[属性]="")+ISNUMBER(FIND(D138,角色MOD表[属性]))),0),2),INDEX(武器MOD表[],MATCH(1,(武器MOD表[名称]=A138)*(武器MOD表[品质]=E138)*((武器MOD表[类型]=C138)+(武器MOD表[限定]=C138)),0),2))</f>
        <v>牧神</v>
      </c>
    </row>
    <row r="139" spans="1:7">
      <c r="A139" t="s">
        <v>860</v>
      </c>
      <c r="B139" s="50" t="s">
        <v>861</v>
      </c>
      <c r="C139" t="s">
        <v>16</v>
      </c>
      <c r="E139" t="s">
        <v>825</v>
      </c>
      <c r="F139">
        <f t="array" ref="F139">SUM(_xlfn.MAP(_xlfn.SEQUENCE(4),_xlfn.LAMBDA(_xlpm.i,POWER(36,4-_xlpm.i)*_xlfn.MAP(MID(代码表[[#This Row],[代码]],_xlpm.i,1),_xlfn.LAMBDA(_xlpm.a,IF(CODE(_xlpm.a)&gt;64,CODE(_xlpm.a)-55,CODE(_xlpm.a)-48))))))</f>
        <v>31218</v>
      </c>
      <c r="G139" s="10" t="str">
        <f t="array" ref="G139">IFERROR(INDEX(角色MOD表[],MATCH(1,(角色MOD表[名称]=A139)*(角色MOD表[品质]=E139)*IF(D139="",1,(角色MOD表[属性]="")+ISNUMBER(FIND(D139,角色MOD表[属性]))),0),2),INDEX(武器MOD表[],MATCH(1,(武器MOD表[名称]=A139)*(武器MOD表[品质]=E139)*((武器MOD表[类型]=C139)+(武器MOD表[限定]=C139)),0),2))</f>
        <v>牧神</v>
      </c>
    </row>
    <row r="140" spans="1:7">
      <c r="A140" t="s">
        <v>862</v>
      </c>
      <c r="B140" s="50" t="s">
        <v>863</v>
      </c>
      <c r="C140" t="s">
        <v>16</v>
      </c>
      <c r="E140" t="s">
        <v>825</v>
      </c>
      <c r="F140">
        <f t="array" ref="F140">SUM(_xlfn.MAP(_xlfn.SEQUENCE(4),_xlfn.LAMBDA(_xlpm.i,POWER(36,4-_xlpm.i)*_xlfn.MAP(MID(代码表[[#This Row],[代码]],_xlpm.i,1),_xlfn.LAMBDA(_xlpm.a,IF(CODE(_xlpm.a)&gt;64,CODE(_xlpm.a)-55,CODE(_xlpm.a)-48))))))</f>
        <v>31301</v>
      </c>
      <c r="G140" s="10" t="str">
        <f t="array" ref="G140">IFERROR(INDEX(角色MOD表[],MATCH(1,(角色MOD表[名称]=A140)*(角色MOD表[品质]=E140)*IF(D140="",1,(角色MOD表[属性]="")+ISNUMBER(FIND(D140,角色MOD表[属性]))),0),2),INDEX(武器MOD表[],MATCH(1,(武器MOD表[名称]=A140)*(武器MOD表[品质]=E140)*((武器MOD表[类型]=C140)+(武器MOD表[限定]=C140)),0),2))</f>
        <v>海妖</v>
      </c>
    </row>
    <row r="141" spans="1:7">
      <c r="A141" t="s">
        <v>864</v>
      </c>
      <c r="B141" s="50" t="s">
        <v>865</v>
      </c>
      <c r="C141" t="s">
        <v>16</v>
      </c>
      <c r="D141" t="s">
        <v>79</v>
      </c>
      <c r="E141" t="s">
        <v>825</v>
      </c>
      <c r="F141">
        <f t="array" ref="F141">SUM(_xlfn.MAP(_xlfn.SEQUENCE(4),_xlfn.LAMBDA(_xlpm.i,POWER(36,4-_xlpm.i)*_xlfn.MAP(MID(代码表[[#This Row],[代码]],_xlpm.i,1),_xlfn.LAMBDA(_xlpm.a,IF(CODE(_xlpm.a)&gt;64,CODE(_xlpm.a)-55,CODE(_xlpm.a)-48))))))</f>
        <v>31321</v>
      </c>
      <c r="G141" s="10" t="str">
        <f t="array" ref="G141">IFERROR(INDEX(角色MOD表[],MATCH(1,(角色MOD表[名称]=A141)*(角色MOD表[品质]=E141)*IF(D141="",1,(角色MOD表[属性]="")+ISNUMBER(FIND(D141,角色MOD表[属性]))),0),2),INDEX(武器MOD表[],MATCH(1,(武器MOD表[名称]=A141)*(武器MOD表[品质]=E141)*((武器MOD表[类型]=C141)+(武器MOD表[限定]=C141)),0),2))</f>
        <v>狮鹫</v>
      </c>
    </row>
    <row r="142" spans="1:7">
      <c r="A142" t="s">
        <v>866</v>
      </c>
      <c r="B142" s="50" t="s">
        <v>867</v>
      </c>
      <c r="C142" t="s">
        <v>16</v>
      </c>
      <c r="D142" t="s">
        <v>23</v>
      </c>
      <c r="E142" t="s">
        <v>825</v>
      </c>
      <c r="F142">
        <f t="array" ref="F142">SUM(_xlfn.MAP(_xlfn.SEQUENCE(4),_xlfn.LAMBDA(_xlpm.i,POWER(36,4-_xlpm.i)*_xlfn.MAP(MID(代码表[[#This Row],[代码]],_xlpm.i,1),_xlfn.LAMBDA(_xlpm.a,IF(CODE(_xlpm.a)&gt;64,CODE(_xlpm.a)-55,CODE(_xlpm.a)-48))))))</f>
        <v>31322</v>
      </c>
      <c r="G142" s="10" t="str">
        <f t="array" ref="G142">IFERROR(INDEX(角色MOD表[],MATCH(1,(角色MOD表[名称]=A142)*(角色MOD表[品质]=E142)*IF(D142="",1,(角色MOD表[属性]="")+ISNUMBER(FIND(D142,角色MOD表[属性]))),0),2),INDEX(武器MOD表[],MATCH(1,(武器MOD表[名称]=A142)*(武器MOD表[品质]=E142)*((武器MOD表[类型]=C142)+(武器MOD表[限定]=C142)),0),2))</f>
        <v>狮鹫</v>
      </c>
    </row>
    <row r="143" spans="1:7">
      <c r="A143" t="s">
        <v>868</v>
      </c>
      <c r="B143" s="50" t="s">
        <v>869</v>
      </c>
      <c r="C143" t="s">
        <v>16</v>
      </c>
      <c r="D143" t="s">
        <v>37</v>
      </c>
      <c r="E143" t="s">
        <v>825</v>
      </c>
      <c r="F143">
        <f t="array" ref="F143">SUM(_xlfn.MAP(_xlfn.SEQUENCE(4),_xlfn.LAMBDA(_xlpm.i,POWER(36,4-_xlpm.i)*_xlfn.MAP(MID(代码表[[#This Row],[代码]],_xlpm.i,1),_xlfn.LAMBDA(_xlpm.a,IF(CODE(_xlpm.a)&gt;64,CODE(_xlpm.a)-55,CODE(_xlpm.a)-48))))))</f>
        <v>31323</v>
      </c>
      <c r="G143" s="10" t="str">
        <f t="array" ref="G143">IFERROR(INDEX(角色MOD表[],MATCH(1,(角色MOD表[名称]=A143)*(角色MOD表[品质]=E143)*IF(D143="",1,(角色MOD表[属性]="")+ISNUMBER(FIND(D143,角色MOD表[属性]))),0),2),INDEX(武器MOD表[],MATCH(1,(武器MOD表[名称]=A143)*(武器MOD表[品质]=E143)*((武器MOD表[类型]=C143)+(武器MOD表[限定]=C143)),0),2))</f>
        <v>狮鹫</v>
      </c>
    </row>
    <row r="144" spans="1:7">
      <c r="A144" t="s">
        <v>870</v>
      </c>
      <c r="B144" s="50" t="s">
        <v>871</v>
      </c>
      <c r="C144" t="s">
        <v>16</v>
      </c>
      <c r="D144" t="s">
        <v>10</v>
      </c>
      <c r="E144" t="s">
        <v>825</v>
      </c>
      <c r="F144">
        <f t="array" ref="F144">SUM(_xlfn.MAP(_xlfn.SEQUENCE(4),_xlfn.LAMBDA(_xlpm.i,POWER(36,4-_xlpm.i)*_xlfn.MAP(MID(代码表[[#This Row],[代码]],_xlpm.i,1),_xlfn.LAMBDA(_xlpm.a,IF(CODE(_xlpm.a)&gt;64,CODE(_xlpm.a)-55,CODE(_xlpm.a)-48))))))</f>
        <v>31324</v>
      </c>
      <c r="G144" s="10" t="str">
        <f t="array" ref="G144">IFERROR(INDEX(角色MOD表[],MATCH(1,(角色MOD表[名称]=A144)*(角色MOD表[品质]=E144)*IF(D144="",1,(角色MOD表[属性]="")+ISNUMBER(FIND(D144,角色MOD表[属性]))),0),2),INDEX(武器MOD表[],MATCH(1,(武器MOD表[名称]=A144)*(武器MOD表[品质]=E144)*((武器MOD表[类型]=C144)+(武器MOD表[限定]=C144)),0),2))</f>
        <v>狮鹫</v>
      </c>
    </row>
    <row r="145" spans="1:7">
      <c r="A145" t="s">
        <v>872</v>
      </c>
      <c r="B145" s="50" t="s">
        <v>873</v>
      </c>
      <c r="C145" t="s">
        <v>16</v>
      </c>
      <c r="D145" t="s">
        <v>43</v>
      </c>
      <c r="E145" t="s">
        <v>825</v>
      </c>
      <c r="F145">
        <f t="array" ref="F145">SUM(_xlfn.MAP(_xlfn.SEQUENCE(4),_xlfn.LAMBDA(_xlpm.i,POWER(36,4-_xlpm.i)*_xlfn.MAP(MID(代码表[[#This Row],[代码]],_xlpm.i,1),_xlfn.LAMBDA(_xlpm.a,IF(CODE(_xlpm.a)&gt;64,CODE(_xlpm.a)-55,CODE(_xlpm.a)-48))))))</f>
        <v>31325</v>
      </c>
      <c r="G145" s="10" t="str">
        <f t="array" ref="G145">IFERROR(INDEX(角色MOD表[],MATCH(1,(角色MOD表[名称]=A145)*(角色MOD表[品质]=E145)*IF(D145="",1,(角色MOD表[属性]="")+ISNUMBER(FIND(D145,角色MOD表[属性]))),0),2),INDEX(武器MOD表[],MATCH(1,(武器MOD表[名称]=A145)*(武器MOD表[品质]=E145)*((武器MOD表[类型]=C145)+(武器MOD表[限定]=C145)),0),2))</f>
        <v>狮鹫</v>
      </c>
    </row>
    <row r="146" spans="1:7">
      <c r="A146" t="s">
        <v>874</v>
      </c>
      <c r="B146" s="50" t="s">
        <v>875</v>
      </c>
      <c r="C146" t="s">
        <v>16</v>
      </c>
      <c r="D146" t="s">
        <v>72</v>
      </c>
      <c r="E146" t="s">
        <v>825</v>
      </c>
      <c r="F146">
        <f t="array" ref="F146">SUM(_xlfn.MAP(_xlfn.SEQUENCE(4),_xlfn.LAMBDA(_xlpm.i,POWER(36,4-_xlpm.i)*_xlfn.MAP(MID(代码表[[#This Row],[代码]],_xlpm.i,1),_xlfn.LAMBDA(_xlpm.a,IF(CODE(_xlpm.a)&gt;64,CODE(_xlpm.a)-55,CODE(_xlpm.a)-48))))))</f>
        <v>31326</v>
      </c>
      <c r="G146" s="10" t="str">
        <f t="array" ref="G146">IFERROR(INDEX(角色MOD表[],MATCH(1,(角色MOD表[名称]=A146)*(角色MOD表[品质]=E146)*IF(D146="",1,(角色MOD表[属性]="")+ISNUMBER(FIND(D146,角色MOD表[属性]))),0),2),INDEX(武器MOD表[],MATCH(1,(武器MOD表[名称]=A146)*(武器MOD表[品质]=E146)*((武器MOD表[类型]=C146)+(武器MOD表[限定]=C146)),0),2))</f>
        <v>狮鹫</v>
      </c>
    </row>
    <row r="147" spans="1:7">
      <c r="A147" t="s">
        <v>783</v>
      </c>
      <c r="B147" s="50" t="s">
        <v>876</v>
      </c>
      <c r="C147" t="s">
        <v>16</v>
      </c>
      <c r="D147" t="s">
        <v>79</v>
      </c>
      <c r="E147" t="s">
        <v>825</v>
      </c>
      <c r="F147">
        <f t="array" ref="F147">SUM(_xlfn.MAP(_xlfn.SEQUENCE(4),_xlfn.LAMBDA(_xlpm.i,POWER(36,4-_xlpm.i)*_xlfn.MAP(MID(代码表[[#This Row],[代码]],_xlpm.i,1),_xlfn.LAMBDA(_xlpm.a,IF(CODE(_xlpm.a)&gt;64,CODE(_xlpm.a)-55,CODE(_xlpm.a)-48))))))</f>
        <v>31401</v>
      </c>
      <c r="G147" s="10" t="str">
        <f t="array" ref="G147">IFERROR(INDEX(角色MOD表[],MATCH(1,(角色MOD表[名称]=A147)*(角色MOD表[品质]=E147)*IF(D147="",1,(角色MOD表[属性]="")+ISNUMBER(FIND(D147,角色MOD表[属性]))),0),2),INDEX(武器MOD表[],MATCH(1,(武器MOD表[名称]=A147)*(武器MOD表[品质]=E147)*((武器MOD表[类型]=C147)+(武器MOD表[限定]=C147)),0),2))</f>
        <v>百首</v>
      </c>
    </row>
    <row r="148" spans="1:7">
      <c r="A148" t="s">
        <v>783</v>
      </c>
      <c r="B148" s="50" t="s">
        <v>877</v>
      </c>
      <c r="C148" t="s">
        <v>16</v>
      </c>
      <c r="D148" t="s">
        <v>23</v>
      </c>
      <c r="E148" t="s">
        <v>825</v>
      </c>
      <c r="F148">
        <f t="array" ref="F148">SUM(_xlfn.MAP(_xlfn.SEQUENCE(4),_xlfn.LAMBDA(_xlpm.i,POWER(36,4-_xlpm.i)*_xlfn.MAP(MID(代码表[[#This Row],[代码]],_xlpm.i,1),_xlfn.LAMBDA(_xlpm.a,IF(CODE(_xlpm.a)&gt;64,CODE(_xlpm.a)-55,CODE(_xlpm.a)-48))))))</f>
        <v>31402</v>
      </c>
      <c r="G148" s="10" t="str">
        <f t="array" ref="G148">IFERROR(INDEX(角色MOD表[],MATCH(1,(角色MOD表[名称]=A148)*(角色MOD表[品质]=E148)*IF(D148="",1,(角色MOD表[属性]="")+ISNUMBER(FIND(D148,角色MOD表[属性]))),0),2),INDEX(武器MOD表[],MATCH(1,(武器MOD表[名称]=A148)*(武器MOD表[品质]=E148)*((武器MOD表[类型]=C148)+(武器MOD表[限定]=C148)),0),2))</f>
        <v>百首</v>
      </c>
    </row>
    <row r="149" spans="1:7">
      <c r="A149" t="s">
        <v>783</v>
      </c>
      <c r="B149" s="50" t="s">
        <v>878</v>
      </c>
      <c r="C149" t="s">
        <v>16</v>
      </c>
      <c r="D149" t="s">
        <v>37</v>
      </c>
      <c r="E149" t="s">
        <v>825</v>
      </c>
      <c r="F149">
        <f t="array" ref="F149">SUM(_xlfn.MAP(_xlfn.SEQUENCE(4),_xlfn.LAMBDA(_xlpm.i,POWER(36,4-_xlpm.i)*_xlfn.MAP(MID(代码表[[#This Row],[代码]],_xlpm.i,1),_xlfn.LAMBDA(_xlpm.a,IF(CODE(_xlpm.a)&gt;64,CODE(_xlpm.a)-55,CODE(_xlpm.a)-48))))))</f>
        <v>31403</v>
      </c>
      <c r="G149" s="10" t="str">
        <f t="array" ref="G149">IFERROR(INDEX(角色MOD表[],MATCH(1,(角色MOD表[名称]=A149)*(角色MOD表[品质]=E149)*IF(D149="",1,(角色MOD表[属性]="")+ISNUMBER(FIND(D149,角色MOD表[属性]))),0),2),INDEX(武器MOD表[],MATCH(1,(武器MOD表[名称]=A149)*(武器MOD表[品质]=E149)*((武器MOD表[类型]=C149)+(武器MOD表[限定]=C149)),0),2))</f>
        <v>百首</v>
      </c>
    </row>
    <row r="150" spans="1:7">
      <c r="A150" t="s">
        <v>783</v>
      </c>
      <c r="B150" s="50" t="s">
        <v>879</v>
      </c>
      <c r="C150" t="s">
        <v>16</v>
      </c>
      <c r="D150" t="s">
        <v>10</v>
      </c>
      <c r="E150" t="s">
        <v>825</v>
      </c>
      <c r="F150">
        <f t="array" ref="F150">SUM(_xlfn.MAP(_xlfn.SEQUENCE(4),_xlfn.LAMBDA(_xlpm.i,POWER(36,4-_xlpm.i)*_xlfn.MAP(MID(代码表[[#This Row],[代码]],_xlpm.i,1),_xlfn.LAMBDA(_xlpm.a,IF(CODE(_xlpm.a)&gt;64,CODE(_xlpm.a)-55,CODE(_xlpm.a)-48))))))</f>
        <v>31404</v>
      </c>
      <c r="G150" s="10" t="str">
        <f t="array" ref="G150">IFERROR(INDEX(角色MOD表[],MATCH(1,(角色MOD表[名称]=A150)*(角色MOD表[品质]=E150)*IF(D150="",1,(角色MOD表[属性]="")+ISNUMBER(FIND(D150,角色MOD表[属性]))),0),2),INDEX(武器MOD表[],MATCH(1,(武器MOD表[名称]=A150)*(武器MOD表[品质]=E150)*((武器MOD表[类型]=C150)+(武器MOD表[限定]=C150)),0),2))</f>
        <v>百首</v>
      </c>
    </row>
    <row r="151" spans="1:7">
      <c r="A151" t="s">
        <v>783</v>
      </c>
      <c r="B151" s="50" t="s">
        <v>880</v>
      </c>
      <c r="C151" t="s">
        <v>16</v>
      </c>
      <c r="D151" t="s">
        <v>43</v>
      </c>
      <c r="E151" t="s">
        <v>825</v>
      </c>
      <c r="F151">
        <f t="array" ref="F151">SUM(_xlfn.MAP(_xlfn.SEQUENCE(4),_xlfn.LAMBDA(_xlpm.i,POWER(36,4-_xlpm.i)*_xlfn.MAP(MID(代码表[[#This Row],[代码]],_xlpm.i,1),_xlfn.LAMBDA(_xlpm.a,IF(CODE(_xlpm.a)&gt;64,CODE(_xlpm.a)-55,CODE(_xlpm.a)-48))))))</f>
        <v>31405</v>
      </c>
      <c r="G151" s="10" t="str">
        <f t="array" ref="G151">IFERROR(INDEX(角色MOD表[],MATCH(1,(角色MOD表[名称]=A151)*(角色MOD表[品质]=E151)*IF(D151="",1,(角色MOD表[属性]="")+ISNUMBER(FIND(D151,角色MOD表[属性]))),0),2),INDEX(武器MOD表[],MATCH(1,(武器MOD表[名称]=A151)*(武器MOD表[品质]=E151)*((武器MOD表[类型]=C151)+(武器MOD表[限定]=C151)),0),2))</f>
        <v>百首</v>
      </c>
    </row>
    <row r="152" spans="1:7">
      <c r="A152" t="s">
        <v>783</v>
      </c>
      <c r="B152" s="50" t="s">
        <v>881</v>
      </c>
      <c r="C152" t="s">
        <v>16</v>
      </c>
      <c r="D152" t="s">
        <v>72</v>
      </c>
      <c r="E152" t="s">
        <v>825</v>
      </c>
      <c r="F152">
        <f t="array" ref="F152">SUM(_xlfn.MAP(_xlfn.SEQUENCE(4),_xlfn.LAMBDA(_xlpm.i,POWER(36,4-_xlpm.i)*_xlfn.MAP(MID(代码表[[#This Row],[代码]],_xlpm.i,1),_xlfn.LAMBDA(_xlpm.a,IF(CODE(_xlpm.a)&gt;64,CODE(_xlpm.a)-55,CODE(_xlpm.a)-48))))))</f>
        <v>31406</v>
      </c>
      <c r="G152" s="10" t="str">
        <f t="array" ref="G152">IFERROR(INDEX(角色MOD表[],MATCH(1,(角色MOD表[名称]=A152)*(角色MOD表[品质]=E152)*IF(D152="",1,(角色MOD表[属性]="")+ISNUMBER(FIND(D152,角色MOD表[属性]))),0),2),INDEX(武器MOD表[],MATCH(1,(武器MOD表[名称]=A152)*(武器MOD表[品质]=E152)*((武器MOD表[类型]=C152)+(武器MOD表[限定]=C152)),0),2))</f>
        <v>百首</v>
      </c>
    </row>
    <row r="153" spans="1:7">
      <c r="A153" t="s">
        <v>882</v>
      </c>
      <c r="B153" s="50" t="s">
        <v>883</v>
      </c>
      <c r="C153" t="s">
        <v>16</v>
      </c>
      <c r="E153" t="s">
        <v>825</v>
      </c>
      <c r="F153">
        <f t="array" ref="F153">SUM(_xlfn.MAP(_xlfn.SEQUENCE(4),_xlfn.LAMBDA(_xlpm.i,POWER(36,4-_xlpm.i)*_xlfn.MAP(MID(代码表[[#This Row],[代码]],_xlpm.i,1),_xlfn.LAMBDA(_xlpm.a,IF(CODE(_xlpm.a)&gt;64,CODE(_xlpm.a)-55,CODE(_xlpm.a)-48))))))</f>
        <v>31502</v>
      </c>
      <c r="G153" s="10" t="str">
        <f t="array" ref="G153">IFERROR(INDEX(角色MOD表[],MATCH(1,(角色MOD表[名称]=A153)*(角色MOD表[品质]=E153)*IF(D153="",1,(角色MOD表[属性]="")+ISNUMBER(FIND(D153,角色MOD表[属性]))),0),2),INDEX(武器MOD表[],MATCH(1,(武器MOD表[名称]=A153)*(武器MOD表[品质]=E153)*((武器MOD表[类型]=C153)+(武器MOD表[限定]=C153)),0),2))</f>
        <v>羽蛇</v>
      </c>
    </row>
    <row r="154" spans="1:7">
      <c r="A154" t="s">
        <v>884</v>
      </c>
      <c r="B154" s="50" t="s">
        <v>885</v>
      </c>
      <c r="C154" t="s">
        <v>16</v>
      </c>
      <c r="E154" t="s">
        <v>825</v>
      </c>
      <c r="F154">
        <f t="array" ref="F154">SUM(_xlfn.MAP(_xlfn.SEQUENCE(4),_xlfn.LAMBDA(_xlpm.i,POWER(36,4-_xlpm.i)*_xlfn.MAP(MID(代码表[[#This Row],[代码]],_xlpm.i,1),_xlfn.LAMBDA(_xlpm.a,IF(CODE(_xlpm.a)&gt;64,CODE(_xlpm.a)-55,CODE(_xlpm.a)-48))))))</f>
        <v>31512</v>
      </c>
      <c r="G154" s="10" t="str">
        <f t="array" ref="G154">IFERROR(INDEX(角色MOD表[],MATCH(1,(角色MOD表[名称]=A154)*(角色MOD表[品质]=E154)*IF(D154="",1,(角色MOD表[属性]="")+ISNUMBER(FIND(D154,角色MOD表[属性]))),0),2),INDEX(武器MOD表[],MATCH(1,(武器MOD表[名称]=A154)*(武器MOD表[品质]=E154)*((武器MOD表[类型]=C154)+(武器MOD表[限定]=C154)),0),2))</f>
        <v>羽蛇</v>
      </c>
    </row>
    <row r="155" spans="1:7">
      <c r="A155" t="s">
        <v>886</v>
      </c>
      <c r="B155" s="50" t="s">
        <v>887</v>
      </c>
      <c r="C155" t="s">
        <v>16</v>
      </c>
      <c r="E155" t="s">
        <v>825</v>
      </c>
      <c r="F155">
        <f t="array" ref="F155">SUM(_xlfn.MAP(_xlfn.SEQUENCE(4),_xlfn.LAMBDA(_xlpm.i,POWER(36,4-_xlpm.i)*_xlfn.MAP(MID(代码表[[#This Row],[代码]],_xlpm.i,1),_xlfn.LAMBDA(_xlpm.a,IF(CODE(_xlpm.a)&gt;64,CODE(_xlpm.a)-55,CODE(_xlpm.a)-48))))))</f>
        <v>31513</v>
      </c>
      <c r="G155" s="10" t="str">
        <f t="array" ref="G155">IFERROR(INDEX(角色MOD表[],MATCH(1,(角色MOD表[名称]=A155)*(角色MOD表[品质]=E155)*IF(D155="",1,(角色MOD表[属性]="")+ISNUMBER(FIND(D155,角色MOD表[属性]))),0),2),INDEX(武器MOD表[],MATCH(1,(武器MOD表[名称]=A155)*(武器MOD表[品质]=E155)*((武器MOD表[类型]=C155)+(武器MOD表[限定]=C155)),0),2))</f>
        <v>羽蛇</v>
      </c>
    </row>
    <row r="156" spans="1:7">
      <c r="A156" t="s">
        <v>888</v>
      </c>
      <c r="B156" s="50" t="s">
        <v>889</v>
      </c>
      <c r="C156" t="s">
        <v>16</v>
      </c>
      <c r="D156"/>
      <c r="E156" t="s">
        <v>825</v>
      </c>
      <c r="F156">
        <f t="array" ref="F156">SUM(_xlfn.MAP(_xlfn.SEQUENCE(4),_xlfn.LAMBDA(_xlpm.i,POWER(36,4-_xlpm.i)*_xlfn.MAP(MID(代码表[[#This Row],[代码]],_xlpm.i,1),_xlfn.LAMBDA(_xlpm.a,IF(CODE(_xlpm.a)&gt;64,CODE(_xlpm.a)-55,CODE(_xlpm.a)-48))))))</f>
        <v>31521</v>
      </c>
      <c r="G156" s="10" t="str">
        <f t="array" ref="G156">IFERROR(INDEX(角色MOD表[],MATCH(1,(角色MOD表[名称]=A156)*(角色MOD表[品质]=E156)*IF(D156="",1,(角色MOD表[属性]="")+ISNUMBER(FIND(D156,角色MOD表[属性]))),0),2),INDEX(武器MOD表[],MATCH(1,(武器MOD表[名称]=A156)*(武器MOD表[品质]=E156)*((武器MOD表[类型]=C156)+(武器MOD表[限定]=C156)),0),2))</f>
        <v>羽蛇</v>
      </c>
    </row>
    <row r="157" spans="1:7">
      <c r="A157" t="s">
        <v>890</v>
      </c>
      <c r="B157" s="50" t="s">
        <v>891</v>
      </c>
      <c r="C157" t="s">
        <v>16</v>
      </c>
      <c r="E157" t="s">
        <v>825</v>
      </c>
      <c r="F157">
        <f t="array" ref="F157">SUM(_xlfn.MAP(_xlfn.SEQUENCE(4),_xlfn.LAMBDA(_xlpm.i,POWER(36,4-_xlpm.i)*_xlfn.MAP(MID(代码表[[#This Row],[代码]],_xlpm.i,1),_xlfn.LAMBDA(_xlpm.a,IF(CODE(_xlpm.a)&gt;64,CODE(_xlpm.a)-55,CODE(_xlpm.a)-48))))))</f>
        <v>31522</v>
      </c>
      <c r="G157" s="10" t="str">
        <f t="array" ref="G157">IFERROR(INDEX(角色MOD表[],MATCH(1,(角色MOD表[名称]=A157)*(角色MOD表[品质]=E157)*IF(D157="",1,(角色MOD表[属性]="")+ISNUMBER(FIND(D157,角色MOD表[属性]))),0),2),INDEX(武器MOD表[],MATCH(1,(武器MOD表[名称]=A157)*(武器MOD表[品质]=E157)*((武器MOD表[类型]=C157)+(武器MOD表[限定]=C157)),0),2))</f>
        <v>羽蛇</v>
      </c>
    </row>
    <row r="158" spans="1:7">
      <c r="A158" t="s">
        <v>892</v>
      </c>
      <c r="B158" s="50" t="s">
        <v>893</v>
      </c>
      <c r="C158" t="s">
        <v>16</v>
      </c>
      <c r="E158" t="s">
        <v>825</v>
      </c>
      <c r="F158">
        <f t="array" ref="F158">SUM(_xlfn.MAP(_xlfn.SEQUENCE(4),_xlfn.LAMBDA(_xlpm.i,POWER(36,4-_xlpm.i)*_xlfn.MAP(MID(代码表[[#This Row],[代码]],_xlpm.i,1),_xlfn.LAMBDA(_xlpm.a,IF(CODE(_xlpm.a)&gt;64,CODE(_xlpm.a)-55,CODE(_xlpm.a)-48))))))</f>
        <v>31523</v>
      </c>
      <c r="G158" s="10" t="str">
        <f t="array" ref="G158">IFERROR(INDEX(角色MOD表[],MATCH(1,(角色MOD表[名称]=A158)*(角色MOD表[品质]=E158)*IF(D158="",1,(角色MOD表[属性]="")+ISNUMBER(FIND(D158,角色MOD表[属性]))),0),2),INDEX(武器MOD表[],MATCH(1,(武器MOD表[名称]=A158)*(武器MOD表[品质]=E158)*((武器MOD表[类型]=C158)+(武器MOD表[限定]=C158)),0),2))</f>
        <v>羽蛇</v>
      </c>
    </row>
    <row r="159" spans="1:7">
      <c r="A159" t="s">
        <v>88</v>
      </c>
      <c r="B159" s="50" t="s">
        <v>894</v>
      </c>
      <c r="C159" t="s">
        <v>16</v>
      </c>
      <c r="E159" t="s">
        <v>825</v>
      </c>
      <c r="F159">
        <f t="array" ref="F159">SUM(_xlfn.MAP(_xlfn.SEQUENCE(4),_xlfn.LAMBDA(_xlpm.i,POWER(36,4-_xlpm.i)*_xlfn.MAP(MID(代码表[[#This Row],[代码]],_xlpm.i,1),_xlfn.LAMBDA(_xlpm.a,IF(CODE(_xlpm.a)&gt;64,CODE(_xlpm.a)-55,CODE(_xlpm.a)-48))))))</f>
        <v>31524</v>
      </c>
      <c r="G159" s="10" t="str">
        <f t="array" ref="G159">IFERROR(INDEX(角色MOD表[],MATCH(1,(角色MOD表[名称]=A159)*(角色MOD表[品质]=E159)*IF(D159="",1,(角色MOD表[属性]="")+ISNUMBER(FIND(D159,角色MOD表[属性]))),0),2),INDEX(武器MOD表[],MATCH(1,(武器MOD表[名称]=A159)*(武器MOD表[品质]=E159)*((武器MOD表[类型]=C159)+(武器MOD表[限定]=C159)),0),2))</f>
        <v>羽蛇</v>
      </c>
    </row>
    <row r="160" spans="1:7">
      <c r="A160" t="s">
        <v>895</v>
      </c>
      <c r="B160" s="50" t="s">
        <v>896</v>
      </c>
      <c r="C160" t="s">
        <v>16</v>
      </c>
      <c r="E160" t="s">
        <v>825</v>
      </c>
      <c r="F160">
        <f t="array" ref="F160">SUM(_xlfn.MAP(_xlfn.SEQUENCE(4),_xlfn.LAMBDA(_xlpm.i,POWER(36,4-_xlpm.i)*_xlfn.MAP(MID(代码表[[#This Row],[代码]],_xlpm.i,1),_xlfn.LAMBDA(_xlpm.a,IF(CODE(_xlpm.a)&gt;64,CODE(_xlpm.a)-55,CODE(_xlpm.a)-48))))))</f>
        <v>31525</v>
      </c>
      <c r="G160" s="10" t="str">
        <f t="array" ref="G160">IFERROR(INDEX(角色MOD表[],MATCH(1,(角色MOD表[名称]=A160)*(角色MOD表[品质]=E160)*IF(D160="",1,(角色MOD表[属性]="")+ISNUMBER(FIND(D160,角色MOD表[属性]))),0),2),INDEX(武器MOD表[],MATCH(1,(武器MOD表[名称]=A160)*(武器MOD表[品质]=E160)*((武器MOD表[类型]=C160)+(武器MOD表[限定]=C160)),0),2))</f>
        <v>羽蛇</v>
      </c>
    </row>
    <row r="161" spans="1:7">
      <c r="A161" t="s">
        <v>462</v>
      </c>
      <c r="B161" s="50" t="s">
        <v>897</v>
      </c>
      <c r="C161" t="s">
        <v>16</v>
      </c>
      <c r="E161" t="s">
        <v>825</v>
      </c>
      <c r="F161">
        <f t="array" ref="F161">SUM(_xlfn.MAP(_xlfn.SEQUENCE(4),_xlfn.LAMBDA(_xlpm.i,POWER(36,4-_xlpm.i)*_xlfn.MAP(MID(代码表[[#This Row],[代码]],_xlpm.i,1),_xlfn.LAMBDA(_xlpm.a,IF(CODE(_xlpm.a)&gt;64,CODE(_xlpm.a)-55,CODE(_xlpm.a)-48))))))</f>
        <v>31526</v>
      </c>
      <c r="G161" s="10" t="str">
        <f t="array" ref="G161">IFERROR(INDEX(角色MOD表[],MATCH(1,(角色MOD表[名称]=A161)*(角色MOD表[品质]=E161)*IF(D161="",1,(角色MOD表[属性]="")+ISNUMBER(FIND(D161,角色MOD表[属性]))),0),2),INDEX(武器MOD表[],MATCH(1,(武器MOD表[名称]=A161)*(武器MOD表[品质]=E161)*((武器MOD表[类型]=C161)+(武器MOD表[限定]=C161)),0),2))</f>
        <v>羽蛇</v>
      </c>
    </row>
    <row r="162" spans="1:7">
      <c r="A162" t="s">
        <v>898</v>
      </c>
      <c r="B162" s="50" t="s">
        <v>899</v>
      </c>
      <c r="C162" t="s">
        <v>16</v>
      </c>
      <c r="E162" t="s">
        <v>825</v>
      </c>
      <c r="F162">
        <f t="array" ref="F162">SUM(_xlfn.MAP(_xlfn.SEQUENCE(4),_xlfn.LAMBDA(_xlpm.i,POWER(36,4-_xlpm.i)*_xlfn.MAP(MID(代码表[[#This Row],[代码]],_xlpm.i,1),_xlfn.LAMBDA(_xlpm.a,IF(CODE(_xlpm.a)&gt;64,CODE(_xlpm.a)-55,CODE(_xlpm.a)-48))))))</f>
        <v>31531</v>
      </c>
      <c r="G162" s="10" t="str">
        <f t="array" ref="G162">IFERROR(INDEX(角色MOD表[],MATCH(1,(角色MOD表[名称]=A162)*(角色MOD表[品质]=E162)*IF(D162="",1,(角色MOD表[属性]="")+ISNUMBER(FIND(D162,角色MOD表[属性]))),0),2),INDEX(武器MOD表[],MATCH(1,(武器MOD表[名称]=A162)*(武器MOD表[品质]=E162)*((武器MOD表[类型]=C162)+(武器MOD表[限定]=C162)),0),2))</f>
        <v>羽蛇</v>
      </c>
    </row>
    <row r="163" spans="1:7">
      <c r="A163" t="s">
        <v>900</v>
      </c>
      <c r="B163" s="50" t="s">
        <v>901</v>
      </c>
      <c r="C163" t="s">
        <v>16</v>
      </c>
      <c r="E163" t="s">
        <v>825</v>
      </c>
      <c r="F163">
        <f t="array" ref="F163">SUM(_xlfn.MAP(_xlfn.SEQUENCE(4),_xlfn.LAMBDA(_xlpm.i,POWER(36,4-_xlpm.i)*_xlfn.MAP(MID(代码表[[#This Row],[代码]],_xlpm.i,1),_xlfn.LAMBDA(_xlpm.a,IF(CODE(_xlpm.a)&gt;64,CODE(_xlpm.a)-55,CODE(_xlpm.a)-48))))))</f>
        <v>31532</v>
      </c>
      <c r="G163" s="10" t="str">
        <f t="array" ref="G163">IFERROR(INDEX(角色MOD表[],MATCH(1,(角色MOD表[名称]=A163)*(角色MOD表[品质]=E163)*IF(D163="",1,(角色MOD表[属性]="")+ISNUMBER(FIND(D163,角色MOD表[属性]))),0),2),INDEX(武器MOD表[],MATCH(1,(武器MOD表[名称]=A163)*(武器MOD表[品质]=E163)*((武器MOD表[类型]=C163)+(武器MOD表[限定]=C163)),0),2))</f>
        <v>羽蛇</v>
      </c>
    </row>
    <row r="164" spans="1:7">
      <c r="A164" t="s">
        <v>153</v>
      </c>
      <c r="B164" s="50" t="s">
        <v>902</v>
      </c>
      <c r="C164" t="s">
        <v>140</v>
      </c>
      <c r="E164" t="s">
        <v>825</v>
      </c>
      <c r="F164" s="4">
        <f t="array" ref="F164">SUM(_xlfn.MAP(_xlfn.SEQUENCE(4),_xlfn.LAMBDA(_xlpm.i,POWER(36,4-_xlpm.i)*_xlfn.MAP(MID(代码表[[#This Row],[代码]],_xlpm.i,1),_xlfn.LAMBDA(_xlpm.a,IF(CODE(_xlpm.a)&gt;64,CODE(_xlpm.a)-55,CODE(_xlpm.a)-48))))))</f>
        <v>32004</v>
      </c>
      <c r="G164" s="10" t="str">
        <f t="array" ref="G164">IFERROR(INDEX(角色MOD表[],MATCH(1,(角色MOD表[名称]=A164)*(角色MOD表[品质]=E164)*IF(D164="",1,(角色MOD表[属性]="")+ISNUMBER(FIND(D164,角色MOD表[属性]))),0),2),INDEX(武器MOD表[],MATCH(1,(武器MOD表[名称]=A164)*(武器MOD表[品质]=E164)*((武器MOD表[类型]=C164)+(武器MOD表[限定]=C164)),0),2))</f>
        <v>冥犬</v>
      </c>
    </row>
    <row r="165" spans="1:7">
      <c r="A165" t="s">
        <v>809</v>
      </c>
      <c r="B165" s="50" t="s">
        <v>903</v>
      </c>
      <c r="C165" t="s">
        <v>140</v>
      </c>
      <c r="E165" t="s">
        <v>825</v>
      </c>
      <c r="F165" s="4">
        <f t="array" ref="F165">SUM(_xlfn.MAP(_xlfn.SEQUENCE(4),_xlfn.LAMBDA(_xlpm.i,POWER(36,4-_xlpm.i)*_xlfn.MAP(MID(代码表[[#This Row],[代码]],_xlpm.i,1),_xlfn.LAMBDA(_xlpm.a,IF(CODE(_xlpm.a)&gt;64,CODE(_xlpm.a)-55,CODE(_xlpm.a)-48))))))</f>
        <v>32005</v>
      </c>
      <c r="G165" s="10" t="str">
        <f t="array" ref="G165">IFERROR(INDEX(角色MOD表[],MATCH(1,(角色MOD表[名称]=A165)*(角色MOD表[品质]=E165)*IF(D165="",1,(角色MOD表[属性]="")+ISNUMBER(FIND(D165,角色MOD表[属性]))),0),2),INDEX(武器MOD表[],MATCH(1,(武器MOD表[名称]=A165)*(武器MOD表[品质]=E165)*((武器MOD表[类型]=C165)+(武器MOD表[限定]=C165)),0),2))</f>
        <v>冥犬</v>
      </c>
    </row>
    <row r="166" spans="1:7">
      <c r="A166" t="s">
        <v>155</v>
      </c>
      <c r="B166" s="50" t="s">
        <v>904</v>
      </c>
      <c r="C166" t="s">
        <v>140</v>
      </c>
      <c r="E166" t="s">
        <v>825</v>
      </c>
      <c r="F166" s="4">
        <f t="array" ref="F166">SUM(_xlfn.MAP(_xlfn.SEQUENCE(4),_xlfn.LAMBDA(_xlpm.i,POWER(36,4-_xlpm.i)*_xlfn.MAP(MID(代码表[[#This Row],[代码]],_xlpm.i,1),_xlfn.LAMBDA(_xlpm.a,IF(CODE(_xlpm.a)&gt;64,CODE(_xlpm.a)-55,CODE(_xlpm.a)-48))))))</f>
        <v>32101</v>
      </c>
      <c r="G166" s="10" t="str">
        <f t="array" ref="G166">IFERROR(INDEX(角色MOD表[],MATCH(1,(角色MOD表[名称]=A166)*(角色MOD表[品质]=E166)*IF(D166="",1,(角色MOD表[属性]="")+ISNUMBER(FIND(D166,角色MOD表[属性]))),0),2),INDEX(武器MOD表[],MATCH(1,(武器MOD表[名称]=A166)*(武器MOD表[品质]=E166)*((武器MOD表[类型]=C166)+(武器MOD表[限定]=C166)),0),2))</f>
        <v>冥犬</v>
      </c>
    </row>
    <row r="167" spans="1:7">
      <c r="A167" t="s">
        <v>720</v>
      </c>
      <c r="B167" s="50" t="s">
        <v>905</v>
      </c>
      <c r="C167" t="s">
        <v>140</v>
      </c>
      <c r="E167" t="s">
        <v>825</v>
      </c>
      <c r="F167" s="4">
        <f t="array" ref="F167">SUM(_xlfn.MAP(_xlfn.SEQUENCE(4),_xlfn.LAMBDA(_xlpm.i,POWER(36,4-_xlpm.i)*_xlfn.MAP(MID(代码表[[#This Row],[代码]],_xlpm.i,1),_xlfn.LAMBDA(_xlpm.a,IF(CODE(_xlpm.a)&gt;64,CODE(_xlpm.a)-55,CODE(_xlpm.a)-48))))))</f>
        <v>32102</v>
      </c>
      <c r="G167" s="10" t="str">
        <f t="array" ref="G167">IFERROR(INDEX(角色MOD表[],MATCH(1,(角色MOD表[名称]=A167)*(角色MOD表[品质]=E167)*IF(D167="",1,(角色MOD表[属性]="")+ISNUMBER(FIND(D167,角色MOD表[属性]))),0),2),INDEX(武器MOD表[],MATCH(1,(武器MOD表[名称]=A167)*(武器MOD表[品质]=E167)*((武器MOD表[类型]=C167)+(武器MOD表[限定]=C167)),0),2))</f>
        <v>冥犬</v>
      </c>
    </row>
    <row r="168" spans="1:7">
      <c r="A168" s="9" t="s">
        <v>722</v>
      </c>
      <c r="B168" s="51" t="s">
        <v>906</v>
      </c>
      <c r="C168" t="s">
        <v>140</v>
      </c>
      <c r="E168" t="s">
        <v>825</v>
      </c>
      <c r="F168" s="4">
        <f>SUM(_xlfn.MAP(_xlfn.SEQUENCE(4),_xlfn.LAMBDA(_xlpm.i,POWER(36,4-_xlpm.i)*_xlfn.MAP(MID(代码表[[#This Row],[代码]],_xlpm.i,1),_xlfn.LAMBDA(_xlpm.a,IF(CODE(_xlpm.a)&gt;64,CODE(_xlpm.a)-55,CODE(_xlpm.a)-48))))))</f>
        <v>32103</v>
      </c>
      <c r="G168" s="10" t="str">
        <f t="array" ref="G168">IFERROR(INDEX(角色MOD表[],MATCH(1,(角色MOD表[名称]=A168)*(角色MOD表[品质]=E168)*IF(D168="",1,(角色MOD表[属性]="")+ISNUMBER(FIND(D168,角色MOD表[属性]))),0),2),INDEX(武器MOD表[],MATCH(1,(武器MOD表[名称]=A168)*(武器MOD表[品质]=E168)*((武器MOD表[类型]=C168)+(武器MOD表[限定]=C168)),0),2))</f>
        <v>冥犬</v>
      </c>
    </row>
    <row r="169" spans="1:7">
      <c r="A169" t="s">
        <v>907</v>
      </c>
      <c r="B169" s="50" t="s">
        <v>908</v>
      </c>
      <c r="C169" t="s">
        <v>140</v>
      </c>
      <c r="E169" t="s">
        <v>825</v>
      </c>
      <c r="F169" s="4">
        <f t="array" ref="F169">SUM(_xlfn.MAP(_xlfn.SEQUENCE(4),_xlfn.LAMBDA(_xlpm.i,POWER(36,4-_xlpm.i)*_xlfn.MAP(MID(代码表[[#This Row],[代码]],_xlpm.i,1),_xlfn.LAMBDA(_xlpm.a,IF(CODE(_xlpm.a)&gt;64,CODE(_xlpm.a)-55,CODE(_xlpm.a)-48))))))</f>
        <v>32201</v>
      </c>
      <c r="G169" s="10" t="str">
        <f t="array" ref="G169">IFERROR(INDEX(角色MOD表[],MATCH(1,(角色MOD表[名称]=A169)*(角色MOD表[品质]=E169)*IF(D169="",1,(角色MOD表[属性]="")+ISNUMBER(FIND(D169,角色MOD表[属性]))),0),2),INDEX(武器MOD表[],MATCH(1,(武器MOD表[名称]=A169)*(武器MOD表[品质]=E169)*((武器MOD表[类型]=C169)+(武器MOD表[限定]=C169)),0),2))</f>
        <v>囚狼</v>
      </c>
    </row>
    <row r="170" spans="1:7">
      <c r="A170" t="s">
        <v>909</v>
      </c>
      <c r="B170" s="50" t="s">
        <v>910</v>
      </c>
      <c r="C170" t="s">
        <v>140</v>
      </c>
      <c r="E170" t="s">
        <v>825</v>
      </c>
      <c r="F170" s="4">
        <f t="array" ref="F170">SUM(_xlfn.MAP(_xlfn.SEQUENCE(4),_xlfn.LAMBDA(_xlpm.i,POWER(36,4-_xlpm.i)*_xlfn.MAP(MID(代码表[[#This Row],[代码]],_xlpm.i,1),_xlfn.LAMBDA(_xlpm.a,IF(CODE(_xlpm.a)&gt;64,CODE(_xlpm.a)-55,CODE(_xlpm.a)-48))))))</f>
        <v>32202</v>
      </c>
      <c r="G170" s="10" t="str">
        <f t="array" ref="G170">IFERROR(INDEX(角色MOD表[],MATCH(1,(角色MOD表[名称]=A170)*(角色MOD表[品质]=E170)*IF(D170="",1,(角色MOD表[属性]="")+ISNUMBER(FIND(D170,角色MOD表[属性]))),0),2),INDEX(武器MOD表[],MATCH(1,(武器MOD表[名称]=A170)*(武器MOD表[品质]=E170)*((武器MOD表[类型]=C170)+(武器MOD表[限定]=C170)),0),2))</f>
        <v>囚狼</v>
      </c>
    </row>
    <row r="171" spans="1:7">
      <c r="A171" t="s">
        <v>911</v>
      </c>
      <c r="B171" s="50" t="s">
        <v>912</v>
      </c>
      <c r="C171" t="s">
        <v>140</v>
      </c>
      <c r="E171" t="s">
        <v>825</v>
      </c>
      <c r="F171" s="4">
        <f t="array" ref="F171">SUM(_xlfn.MAP(_xlfn.SEQUENCE(4),_xlfn.LAMBDA(_xlpm.i,POWER(36,4-_xlpm.i)*_xlfn.MAP(MID(代码表[[#This Row],[代码]],_xlpm.i,1),_xlfn.LAMBDA(_xlpm.a,IF(CODE(_xlpm.a)&gt;64,CODE(_xlpm.a)-55,CODE(_xlpm.a)-48))))))</f>
        <v>32301</v>
      </c>
      <c r="G171" s="10" t="str">
        <f t="array" ref="G171">IFERROR(INDEX(角色MOD表[],MATCH(1,(角色MOD表[名称]=A171)*(角色MOD表[品质]=E171)*IF(D171="",1,(角色MOD表[属性]="")+ISNUMBER(FIND(D171,角色MOD表[属性]))),0),2),INDEX(武器MOD表[],MATCH(1,(武器MOD表[名称]=A171)*(武器MOD表[品质]=E171)*((武器MOD表[类型]=C171)+(武器MOD表[限定]=C171)),0),2))</f>
        <v>囚狼</v>
      </c>
    </row>
    <row r="172" spans="1:7">
      <c r="A172" t="s">
        <v>913</v>
      </c>
      <c r="B172" s="50" t="s">
        <v>914</v>
      </c>
      <c r="C172" t="s">
        <v>140</v>
      </c>
      <c r="E172" t="s">
        <v>825</v>
      </c>
      <c r="F172" s="4">
        <f t="array" ref="F172">SUM(_xlfn.MAP(_xlfn.SEQUENCE(4),_xlfn.LAMBDA(_xlpm.i,POWER(36,4-_xlpm.i)*_xlfn.MAP(MID(代码表[[#This Row],[代码]],_xlpm.i,1),_xlfn.LAMBDA(_xlpm.a,IF(CODE(_xlpm.a)&gt;64,CODE(_xlpm.a)-55,CODE(_xlpm.a)-48))))))</f>
        <v>32302</v>
      </c>
      <c r="G172" s="10" t="str">
        <f t="array" ref="G172">IFERROR(INDEX(角色MOD表[],MATCH(1,(角色MOD表[名称]=A172)*(角色MOD表[品质]=E172)*IF(D172="",1,(角色MOD表[属性]="")+ISNUMBER(FIND(D172,角色MOD表[属性]))),0),2),INDEX(武器MOD表[],MATCH(1,(武器MOD表[名称]=A172)*(武器MOD表[品质]=E172)*((武器MOD表[类型]=C172)+(武器MOD表[限定]=C172)),0),2))</f>
        <v>囚狼</v>
      </c>
    </row>
    <row r="173" spans="1:7">
      <c r="A173" t="s">
        <v>153</v>
      </c>
      <c r="B173" s="50" t="s">
        <v>915</v>
      </c>
      <c r="C173" t="s">
        <v>170</v>
      </c>
      <c r="E173" t="s">
        <v>825</v>
      </c>
      <c r="F173" s="4">
        <f t="array" ref="F173">SUM(_xlfn.MAP(_xlfn.SEQUENCE(4),_xlfn.LAMBDA(_xlpm.i,POWER(36,4-_xlpm.i)*_xlfn.MAP(MID(代码表[[#This Row],[代码]],_xlpm.i,1),_xlfn.LAMBDA(_xlpm.a,IF(CODE(_xlpm.a)&gt;64,CODE(_xlpm.a)-55,CODE(_xlpm.a)-48))))))</f>
        <v>33004</v>
      </c>
      <c r="G173" s="10" t="str">
        <f t="array" ref="G173">IFERROR(INDEX(角色MOD表[],MATCH(1,(角色MOD表[名称]=A173)*(角色MOD表[品质]=E173)*IF(D173="",1,(角色MOD表[属性]="")+ISNUMBER(FIND(D173,角色MOD表[属性]))),0),2),INDEX(武器MOD表[],MATCH(1,(武器MOD表[名称]=A173)*(武器MOD表[品质]=E173)*((武器MOD表[类型]=C173)+(武器MOD表[限定]=C173)),0),2))</f>
        <v>夜魔</v>
      </c>
    </row>
    <row r="174" spans="1:7">
      <c r="A174" t="s">
        <v>173</v>
      </c>
      <c r="B174" s="50" t="s">
        <v>916</v>
      </c>
      <c r="C174" t="s">
        <v>170</v>
      </c>
      <c r="E174" t="s">
        <v>825</v>
      </c>
      <c r="F174" s="4">
        <f t="array" ref="F174">SUM(_xlfn.MAP(_xlfn.SEQUENCE(4),_xlfn.LAMBDA(_xlpm.i,POWER(36,4-_xlpm.i)*_xlfn.MAP(MID(代码表[[#This Row],[代码]],_xlpm.i,1),_xlfn.LAMBDA(_xlpm.a,IF(CODE(_xlpm.a)&gt;64,CODE(_xlpm.a)-55,CODE(_xlpm.a)-48))))))</f>
        <v>33005</v>
      </c>
      <c r="G174" s="10" t="str">
        <f t="array" ref="G174">IFERROR(INDEX(角色MOD表[],MATCH(1,(角色MOD表[名称]=A174)*(角色MOD表[品质]=E174)*IF(D174="",1,(角色MOD表[属性]="")+ISNUMBER(FIND(D174,角色MOD表[属性]))),0),2),INDEX(武器MOD表[],MATCH(1,(武器MOD表[名称]=A174)*(武器MOD表[品质]=E174)*((武器MOD表[类型]=C174)+(武器MOD表[限定]=C174)),0),2))</f>
        <v>夜魔</v>
      </c>
    </row>
    <row r="175" spans="1:7">
      <c r="A175" t="s">
        <v>155</v>
      </c>
      <c r="B175" s="51" t="s">
        <v>917</v>
      </c>
      <c r="C175" t="s">
        <v>170</v>
      </c>
      <c r="E175" t="s">
        <v>825</v>
      </c>
      <c r="F175" s="4">
        <f>SUM(_xlfn.MAP(_xlfn.SEQUENCE(4),_xlfn.LAMBDA(_xlpm.i,POWER(36,4-_xlpm.i)*_xlfn.MAP(MID(代码表[[#This Row],[代码]],_xlpm.i,1),_xlfn.LAMBDA(_xlpm.a,IF(CODE(_xlpm.a)&gt;64,CODE(_xlpm.a)-55,CODE(_xlpm.a)-48))))))</f>
        <v>33101</v>
      </c>
      <c r="G175" s="10" t="str">
        <f t="array" ref="G175">IFERROR(INDEX(角色MOD表[],MATCH(1,(角色MOD表[名称]=A175)*(角色MOD表[品质]=E175)*IF(D175="",1,(角色MOD表[属性]="")+ISNUMBER(FIND(D175,角色MOD表[属性]))),0),2),INDEX(武器MOD表[],MATCH(1,(武器MOD表[名称]=A175)*(武器MOD表[品质]=E175)*((武器MOD表[类型]=C175)+(武器MOD表[限定]=C175)),0),2))</f>
        <v>夜魔</v>
      </c>
    </row>
    <row r="176" spans="1:7">
      <c r="A176" t="s">
        <v>720</v>
      </c>
      <c r="B176" s="51" t="s">
        <v>918</v>
      </c>
      <c r="C176" t="s">
        <v>170</v>
      </c>
      <c r="E176" t="s">
        <v>825</v>
      </c>
      <c r="F176" s="4">
        <f>SUM(_xlfn.MAP(_xlfn.SEQUENCE(4),_xlfn.LAMBDA(_xlpm.i,POWER(36,4-_xlpm.i)*_xlfn.MAP(MID(代码表[[#This Row],[代码]],_xlpm.i,1),_xlfn.LAMBDA(_xlpm.a,IF(CODE(_xlpm.a)&gt;64,CODE(_xlpm.a)-55,CODE(_xlpm.a)-48))))))</f>
        <v>33102</v>
      </c>
      <c r="G176" s="10" t="str">
        <f t="array" ref="G176">IFERROR(INDEX(角色MOD表[],MATCH(1,(角色MOD表[名称]=A176)*(角色MOD表[品质]=E176)*IF(D176="",1,(角色MOD表[属性]="")+ISNUMBER(FIND(D176,角色MOD表[属性]))),0),2),INDEX(武器MOD表[],MATCH(1,(武器MOD表[名称]=A176)*(武器MOD表[品质]=E176)*((武器MOD表[类型]=C176)+(武器MOD表[限定]=C176)),0),2))</f>
        <v>夜魔</v>
      </c>
    </row>
    <row r="177" spans="1:7">
      <c r="A177" t="s">
        <v>722</v>
      </c>
      <c r="B177" s="50" t="s">
        <v>919</v>
      </c>
      <c r="C177" t="s">
        <v>170</v>
      </c>
      <c r="E177" t="s">
        <v>825</v>
      </c>
      <c r="F177" s="4">
        <f t="array" ref="F177">SUM(_xlfn.MAP(_xlfn.SEQUENCE(4),_xlfn.LAMBDA(_xlpm.i,POWER(36,4-_xlpm.i)*_xlfn.MAP(MID(代码表[[#This Row],[代码]],_xlpm.i,1),_xlfn.LAMBDA(_xlpm.a,IF(CODE(_xlpm.a)&gt;64,CODE(_xlpm.a)-55,CODE(_xlpm.a)-48))))))</f>
        <v>33103</v>
      </c>
      <c r="G177" s="10" t="str">
        <f t="array" ref="G177">IFERROR(INDEX(角色MOD表[],MATCH(1,(角色MOD表[名称]=A177)*(角色MOD表[品质]=E177)*IF(D177="",1,(角色MOD表[属性]="")+ISNUMBER(FIND(D177,角色MOD表[属性]))),0),2),INDEX(武器MOD表[],MATCH(1,(武器MOD表[名称]=A177)*(武器MOD表[品质]=E177)*((武器MOD表[类型]=C177)+(武器MOD表[限定]=C177)),0),2))</f>
        <v>夜魔</v>
      </c>
    </row>
    <row r="178" spans="1:7">
      <c r="A178" s="9" t="s">
        <v>920</v>
      </c>
      <c r="B178" s="50" t="s">
        <v>921</v>
      </c>
      <c r="C178" t="s">
        <v>170</v>
      </c>
      <c r="D178"/>
      <c r="E178" t="s">
        <v>825</v>
      </c>
      <c r="F178" s="4">
        <f t="array" ref="F178">SUM(_xlfn.MAP(_xlfn.SEQUENCE(4),_xlfn.LAMBDA(_xlpm.i,POWER(36,4-_xlpm.i)*_xlfn.MAP(MID(代码表[[#This Row],[代码]],_xlpm.i,1),_xlfn.LAMBDA(_xlpm.a,IF(CODE(_xlpm.a)&gt;64,CODE(_xlpm.a)-55,CODE(_xlpm.a)-48))))))</f>
        <v>33201</v>
      </c>
      <c r="G178" s="10" t="str">
        <f t="array" ref="G178">IFERROR(INDEX(角色MOD表[],MATCH(1,(角色MOD表[名称]=A178)*(角色MOD表[品质]=E178)*IF(D178="",1,(角色MOD表[属性]="")+ISNUMBER(FIND(D178,角色MOD表[属性]))),0),2),INDEX(武器MOD表[],MATCH(1,(武器MOD表[名称]=A178)*(武器MOD表[品质]=E178)*((武器MOD表[类型]=C178)+(武器MOD表[限定]=C178)),0),2))</f>
        <v>邪龙</v>
      </c>
    </row>
    <row r="179" spans="1:7">
      <c r="A179" t="s">
        <v>922</v>
      </c>
      <c r="B179" s="50" t="s">
        <v>923</v>
      </c>
      <c r="C179" t="s">
        <v>170</v>
      </c>
      <c r="D179"/>
      <c r="E179" t="s">
        <v>825</v>
      </c>
      <c r="F179" s="4">
        <f t="array" ref="F179">SUM(_xlfn.MAP(_xlfn.SEQUENCE(4),_xlfn.LAMBDA(_xlpm.i,POWER(36,4-_xlpm.i)*_xlfn.MAP(MID(代码表[[#This Row],[代码]],_xlpm.i,1),_xlfn.LAMBDA(_xlpm.a,IF(CODE(_xlpm.a)&gt;64,CODE(_xlpm.a)-55,CODE(_xlpm.a)-48))))))</f>
        <v>33202</v>
      </c>
      <c r="G179" s="10" t="str">
        <f t="array" ref="G179">IFERROR(INDEX(角色MOD表[],MATCH(1,(角色MOD表[名称]=A179)*(角色MOD表[品质]=E179)*IF(D179="",1,(角色MOD表[属性]="")+ISNUMBER(FIND(D179,角色MOD表[属性]))),0),2),INDEX(武器MOD表[],MATCH(1,(武器MOD表[名称]=A179)*(武器MOD表[品质]=E179)*((武器MOD表[类型]=C179)+(武器MOD表[限定]=C179)),0),2))</f>
        <v>邪龙</v>
      </c>
    </row>
    <row r="180" spans="1:7">
      <c r="A180" t="s">
        <v>924</v>
      </c>
      <c r="B180" s="50" t="s">
        <v>925</v>
      </c>
      <c r="C180" t="s">
        <v>170</v>
      </c>
      <c r="D180"/>
      <c r="E180" t="s">
        <v>825</v>
      </c>
      <c r="F180" s="4">
        <f t="array" ref="F180">SUM(_xlfn.MAP(_xlfn.SEQUENCE(4),_xlfn.LAMBDA(_xlpm.i,POWER(36,4-_xlpm.i)*_xlfn.MAP(MID(代码表[[#This Row],[代码]],_xlpm.i,1),_xlfn.LAMBDA(_xlpm.a,IF(CODE(_xlpm.a)&gt;64,CODE(_xlpm.a)-55,CODE(_xlpm.a)-48))))))</f>
        <v>33203</v>
      </c>
      <c r="G180" s="10" t="str">
        <f t="array" ref="G180">IFERROR(INDEX(角色MOD表[],MATCH(1,(角色MOD表[名称]=A180)*(角色MOD表[品质]=E180)*IF(D180="",1,(角色MOD表[属性]="")+ISNUMBER(FIND(D180,角色MOD表[属性]))),0),2),INDEX(武器MOD表[],MATCH(1,(武器MOD表[名称]=A180)*(武器MOD表[品质]=E180)*((武器MOD表[类型]=C180)+(武器MOD表[限定]=C180)),0),2))</f>
        <v>邪龙</v>
      </c>
    </row>
    <row r="181" spans="1:7">
      <c r="A181" t="s">
        <v>926</v>
      </c>
      <c r="B181" s="50" t="s">
        <v>927</v>
      </c>
      <c r="C181" t="s">
        <v>170</v>
      </c>
      <c r="D181"/>
      <c r="E181" t="s">
        <v>825</v>
      </c>
      <c r="F181" s="4">
        <f t="array" ref="F181">SUM(_xlfn.MAP(_xlfn.SEQUENCE(4),_xlfn.LAMBDA(_xlpm.i,POWER(36,4-_xlpm.i)*_xlfn.MAP(MID(代码表[[#This Row],[代码]],_xlpm.i,1),_xlfn.LAMBDA(_xlpm.a,IF(CODE(_xlpm.a)&gt;64,CODE(_xlpm.a)-55,CODE(_xlpm.a)-48))))))</f>
        <v>33204</v>
      </c>
      <c r="G181" s="10" t="str">
        <f t="array" ref="G181">IFERROR(INDEX(角色MOD表[],MATCH(1,(角色MOD表[名称]=A181)*(角色MOD表[品质]=E181)*IF(D181="",1,(角色MOD表[属性]="")+ISNUMBER(FIND(D181,角色MOD表[属性]))),0),2),INDEX(武器MOD表[],MATCH(1,(武器MOD表[名称]=A181)*(武器MOD表[品质]=E181)*((武器MOD表[类型]=C181)+(武器MOD表[限定]=C181)),0),2))</f>
        <v>邪龙</v>
      </c>
    </row>
    <row r="182" spans="1:7">
      <c r="A182" t="s">
        <v>928</v>
      </c>
      <c r="B182" s="50" t="s">
        <v>929</v>
      </c>
      <c r="C182" t="s">
        <v>170</v>
      </c>
      <c r="D182"/>
      <c r="E182" t="s">
        <v>825</v>
      </c>
      <c r="F182" s="4">
        <f t="array" ref="F182">SUM(_xlfn.MAP(_xlfn.SEQUENCE(4),_xlfn.LAMBDA(_xlpm.i,POWER(36,4-_xlpm.i)*_xlfn.MAP(MID(代码表[[#This Row],[代码]],_xlpm.i,1),_xlfn.LAMBDA(_xlpm.a,IF(CODE(_xlpm.a)&gt;64,CODE(_xlpm.a)-55,CODE(_xlpm.a)-48))))))</f>
        <v>33311</v>
      </c>
      <c r="G182" s="10" t="str">
        <f t="array" ref="G182">IFERROR(INDEX(角色MOD表[],MATCH(1,(角色MOD表[名称]=A182)*(角色MOD表[品质]=E182)*IF(D182="",1,(角色MOD表[属性]="")+ISNUMBER(FIND(D182,角色MOD表[属性]))),0),2),INDEX(武器MOD表[],MATCH(1,(武器MOD表[名称]=A182)*(武器MOD表[品质]=E182)*((武器MOD表[类型]=C182)+(武器MOD表[限定]=C182)),0),2))</f>
        <v>邪龙</v>
      </c>
    </row>
    <row r="183" spans="1:7">
      <c r="A183" t="s">
        <v>930</v>
      </c>
      <c r="B183" s="50" t="s">
        <v>931</v>
      </c>
      <c r="C183" t="s">
        <v>170</v>
      </c>
      <c r="E183" t="s">
        <v>825</v>
      </c>
      <c r="F183" s="4">
        <f t="array" ref="F183">SUM(_xlfn.MAP(_xlfn.SEQUENCE(4),_xlfn.LAMBDA(_xlpm.i,POWER(36,4-_xlpm.i)*_xlfn.MAP(MID(代码表[[#This Row],[代码]],_xlpm.i,1),_xlfn.LAMBDA(_xlpm.a,IF(CODE(_xlpm.a)&gt;64,CODE(_xlpm.a)-55,CODE(_xlpm.a)-48))))))</f>
        <v>33321</v>
      </c>
      <c r="G183" s="10" t="str">
        <f t="array" ref="G183">IFERROR(INDEX(角色MOD表[],MATCH(1,(角色MOD表[名称]=A183)*(角色MOD表[品质]=E183)*IF(D183="",1,(角色MOD表[属性]="")+ISNUMBER(FIND(D183,角色MOD表[属性]))),0),2),INDEX(武器MOD表[],MATCH(1,(武器MOD表[名称]=A183)*(武器MOD表[品质]=E183)*((武器MOD表[类型]=C183)+(武器MOD表[限定]=C183)),0),2))</f>
        <v>邪龙</v>
      </c>
    </row>
    <row r="184" spans="1:7">
      <c r="A184" t="s">
        <v>930</v>
      </c>
      <c r="B184" s="50" t="s">
        <v>931</v>
      </c>
      <c r="C184" t="s">
        <v>170</v>
      </c>
      <c r="E184" t="s">
        <v>825</v>
      </c>
      <c r="F184" s="4">
        <f t="array" ref="F184">SUM(_xlfn.MAP(_xlfn.SEQUENCE(4),_xlfn.LAMBDA(_xlpm.i,POWER(36,4-_xlpm.i)*_xlfn.MAP(MID(代码表[[#This Row],[代码]],_xlpm.i,1),_xlfn.LAMBDA(_xlpm.a,IF(CODE(_xlpm.a)&gt;64,CODE(_xlpm.a)-55,CODE(_xlpm.a)-48))))))</f>
        <v>33321</v>
      </c>
      <c r="G184" s="10" t="str">
        <f t="array" ref="G184">IFERROR(INDEX(角色MOD表[],MATCH(1,(角色MOD表[名称]=A184)*(角色MOD表[品质]=E184)*IF(D184="",1,(角色MOD表[属性]="")+ISNUMBER(FIND(D184,角色MOD表[属性]))),0),2),INDEX(武器MOD表[],MATCH(1,(武器MOD表[名称]=A184)*(武器MOD表[品质]=E184)*((武器MOD表[类型]=C184)+(武器MOD表[限定]=C184)),0),2))</f>
        <v>邪龙</v>
      </c>
    </row>
    <row r="185" spans="1:7">
      <c r="A185" t="s">
        <v>932</v>
      </c>
      <c r="B185" s="50" t="s">
        <v>933</v>
      </c>
      <c r="C185" t="s">
        <v>170</v>
      </c>
      <c r="E185" t="s">
        <v>825</v>
      </c>
      <c r="F185" s="4">
        <f t="array" ref="F185">SUM(_xlfn.MAP(_xlfn.SEQUENCE(4),_xlfn.LAMBDA(_xlpm.i,POWER(36,4-_xlpm.i)*_xlfn.MAP(MID(代码表[[#This Row],[代码]],_xlpm.i,1),_xlfn.LAMBDA(_xlpm.a,IF(CODE(_xlpm.a)&gt;64,CODE(_xlpm.a)-55,CODE(_xlpm.a)-48))))))</f>
        <v>33322</v>
      </c>
      <c r="G185" s="10" t="str">
        <f t="array" ref="G185">IFERROR(INDEX(角色MOD表[],MATCH(1,(角色MOD表[名称]=A185)*(角色MOD表[品质]=E185)*IF(D185="",1,(角色MOD表[属性]="")+ISNUMBER(FIND(D185,角色MOD表[属性]))),0),2),INDEX(武器MOD表[],MATCH(1,(武器MOD表[名称]=A185)*(武器MOD表[品质]=E185)*((武器MOD表[类型]=C185)+(武器MOD表[限定]=C185)),0),2))</f>
        <v>邪龙</v>
      </c>
    </row>
    <row r="186" spans="1:7">
      <c r="A186" t="s">
        <v>934</v>
      </c>
      <c r="B186" s="50" t="s">
        <v>935</v>
      </c>
      <c r="C186" t="s">
        <v>170</v>
      </c>
      <c r="E186" t="s">
        <v>825</v>
      </c>
      <c r="F186" s="4">
        <f t="array" ref="F186">SUM(_xlfn.MAP(_xlfn.SEQUENCE(4),_xlfn.LAMBDA(_xlpm.i,POWER(36,4-_xlpm.i)*_xlfn.MAP(MID(代码表[[#This Row],[代码]],_xlpm.i,1),_xlfn.LAMBDA(_xlpm.a,IF(CODE(_xlpm.a)&gt;64,CODE(_xlpm.a)-55,CODE(_xlpm.a)-48))))))</f>
        <v>33331</v>
      </c>
      <c r="G186" s="10" t="str">
        <f t="array" ref="G186">IFERROR(INDEX(角色MOD表[],MATCH(1,(角色MOD表[名称]=A186)*(角色MOD表[品质]=E186)*IF(D186="",1,(角色MOD表[属性]="")+ISNUMBER(FIND(D186,角色MOD表[属性]))),0),2),INDEX(武器MOD表[],MATCH(1,(武器MOD表[名称]=A186)*(武器MOD表[品质]=E186)*((武器MOD表[类型]=C186)+(武器MOD表[限定]=C186)),0),2))</f>
        <v>邪龙</v>
      </c>
    </row>
    <row r="187" spans="1:7">
      <c r="A187" t="s">
        <v>934</v>
      </c>
      <c r="B187" s="50" t="s">
        <v>935</v>
      </c>
      <c r="C187" t="s">
        <v>170</v>
      </c>
      <c r="E187" t="s">
        <v>825</v>
      </c>
      <c r="F187" s="4">
        <f t="array" ref="F187">SUM(_xlfn.MAP(_xlfn.SEQUENCE(4),_xlfn.LAMBDA(_xlpm.i,POWER(36,4-_xlpm.i)*_xlfn.MAP(MID(代码表[[#This Row],[代码]],_xlpm.i,1),_xlfn.LAMBDA(_xlpm.a,IF(CODE(_xlpm.a)&gt;64,CODE(_xlpm.a)-55,CODE(_xlpm.a)-48))))))</f>
        <v>33331</v>
      </c>
      <c r="G187" s="10" t="str">
        <f t="array" ref="G187">IFERROR(INDEX(角色MOD表[],MATCH(1,(角色MOD表[名称]=A187)*(角色MOD表[品质]=E187)*IF(D187="",1,(角色MOD表[属性]="")+ISNUMBER(FIND(D187,角色MOD表[属性]))),0),2),INDEX(武器MOD表[],MATCH(1,(武器MOD表[名称]=A187)*(武器MOD表[品质]=E187)*((武器MOD表[类型]=C187)+(武器MOD表[限定]=C187)),0),2))</f>
        <v>邪龙</v>
      </c>
    </row>
    <row r="188" spans="1:7">
      <c r="A188" t="s">
        <v>936</v>
      </c>
      <c r="B188" s="50" t="s">
        <v>937</v>
      </c>
      <c r="C188" t="s">
        <v>170</v>
      </c>
      <c r="E188" t="s">
        <v>825</v>
      </c>
      <c r="F188" s="4">
        <f t="array" ref="F188">SUM(_xlfn.MAP(_xlfn.SEQUENCE(4),_xlfn.LAMBDA(_xlpm.i,POWER(36,4-_xlpm.i)*_xlfn.MAP(MID(代码表[[#This Row],[代码]],_xlpm.i,1),_xlfn.LAMBDA(_xlpm.a,IF(CODE(_xlpm.a)&gt;64,CODE(_xlpm.a)-55,CODE(_xlpm.a)-48))))))</f>
        <v>33332</v>
      </c>
      <c r="G188" s="10" t="str">
        <f t="array" ref="G188">IFERROR(INDEX(角色MOD表[],MATCH(1,(角色MOD表[名称]=A188)*(角色MOD表[品质]=E188)*IF(D188="",1,(角色MOD表[属性]="")+ISNUMBER(FIND(D188,角色MOD表[属性]))),0),2),INDEX(武器MOD表[],MATCH(1,(武器MOD表[名称]=A188)*(武器MOD表[品质]=E188)*((武器MOD表[类型]=C188)+(武器MOD表[限定]=C188)),0),2))</f>
        <v>邪龙</v>
      </c>
    </row>
    <row r="189" spans="1:7">
      <c r="A189" t="s">
        <v>938</v>
      </c>
      <c r="B189" s="50" t="s">
        <v>939</v>
      </c>
      <c r="C189" t="s">
        <v>170</v>
      </c>
      <c r="E189" t="s">
        <v>825</v>
      </c>
      <c r="F189" s="4">
        <f>SUM(_xlfn.MAP(_xlfn.SEQUENCE(4),_xlfn.LAMBDA(_xlpm.i,POWER(36,4-_xlpm.i)*_xlfn.MAP(MID(代码表[[#This Row],[代码]],_xlpm.i,1),_xlfn.LAMBDA(_xlpm.a,IF(CODE(_xlpm.a)&gt;64,CODE(_xlpm.a)-55,CODE(_xlpm.a)-48))))))</f>
        <v>33411</v>
      </c>
      <c r="G189" s="10" t="str">
        <f t="array" ref="G189">IFERROR(INDEX(角色MOD表[],MATCH(1,(角色MOD表[名称]=A189)*(角色MOD表[品质]=E189)*IF(D189="",1,(角色MOD表[属性]="")+ISNUMBER(FIND(D189,角色MOD表[属性]))),0),2),INDEX(武器MOD表[],MATCH(1,(武器MOD表[名称]=A189)*(武器MOD表[品质]=E189)*((武器MOD表[类型]=C189)+(武器MOD表[限定]=C189)),0),2))</f>
        <v>邪龙</v>
      </c>
    </row>
    <row r="190" spans="1:7">
      <c r="A190" t="s">
        <v>713</v>
      </c>
      <c r="B190" s="50" t="s">
        <v>940</v>
      </c>
      <c r="C190" t="s">
        <v>732</v>
      </c>
      <c r="E190" s="9" t="s">
        <v>825</v>
      </c>
      <c r="F190" s="4">
        <f>SUM(_xlfn.MAP(_xlfn.SEQUENCE(4),_xlfn.LAMBDA(_xlpm.i,POWER(36,4-_xlpm.i)*_xlfn.MAP(MID(代码表[[#This Row],[代码]],_xlpm.i,1),_xlfn.LAMBDA(_xlpm.a,IF(CODE(_xlpm.a)&gt;64,CODE(_xlpm.a)-55,CODE(_xlpm.a)-48))))))</f>
        <v>34001</v>
      </c>
      <c r="G190" s="10" t="str">
        <f t="array" ref="G190">IFERROR(INDEX(角色MOD表[],MATCH(1,(角色MOD表[名称]=A190)*(角色MOD表[品质]=E190)*IF(D190="",1,(角色MOD表[属性]="")+ISNUMBER(FIND(D190,角色MOD表[属性]))),0),2),INDEX(武器MOD表[],MATCH(1,(武器MOD表[名称]=A190)*(武器MOD表[品质]=E190)*((武器MOD表[类型]=C190)+(武器MOD表[限定]=C190)),0),2))</f>
        <v>异化冥犬</v>
      </c>
    </row>
    <row r="191" spans="1:7">
      <c r="A191" t="s">
        <v>177</v>
      </c>
      <c r="B191" s="50" t="s">
        <v>941</v>
      </c>
      <c r="C191" t="s">
        <v>732</v>
      </c>
      <c r="E191" s="9" t="s">
        <v>825</v>
      </c>
      <c r="F191" s="4">
        <f>SUM(_xlfn.MAP(_xlfn.SEQUENCE(4),_xlfn.LAMBDA(_xlpm.i,POWER(36,4-_xlpm.i)*_xlfn.MAP(MID(代码表[[#This Row],[代码]],_xlpm.i,1),_xlfn.LAMBDA(_xlpm.a,IF(CODE(_xlpm.a)&gt;64,CODE(_xlpm.a)-55,CODE(_xlpm.a)-48))))))</f>
        <v>34002</v>
      </c>
      <c r="G191" s="10" t="str">
        <f t="array" ref="G191">IFERROR(INDEX(角色MOD表[],MATCH(1,(角色MOD表[名称]=A191)*(角色MOD表[品质]=E191)*IF(D191="",1,(角色MOD表[属性]="")+ISNUMBER(FIND(D191,角色MOD表[属性]))),0),2),INDEX(武器MOD表[],MATCH(1,(武器MOD表[名称]=A191)*(武器MOD表[品质]=E191)*((武器MOD表[类型]=C191)+(武器MOD表[限定]=C191)),0),2))</f>
        <v>异化冥犬</v>
      </c>
    </row>
    <row r="192" spans="1:7">
      <c r="A192" t="s">
        <v>154</v>
      </c>
      <c r="B192" s="50" t="s">
        <v>942</v>
      </c>
      <c r="C192" t="s">
        <v>732</v>
      </c>
      <c r="E192" s="9" t="s">
        <v>825</v>
      </c>
      <c r="F192" s="4">
        <f>SUM(_xlfn.MAP(_xlfn.SEQUENCE(4),_xlfn.LAMBDA(_xlpm.i,POWER(36,4-_xlpm.i)*_xlfn.MAP(MID(代码表[[#This Row],[代码]],_xlpm.i,1),_xlfn.LAMBDA(_xlpm.a,IF(CODE(_xlpm.a)&gt;64,CODE(_xlpm.a)-55,CODE(_xlpm.a)-48))))))</f>
        <v>34003</v>
      </c>
      <c r="G192" s="10" t="str">
        <f t="array" ref="G192">IFERROR(INDEX(角色MOD表[],MATCH(1,(角色MOD表[名称]=A192)*(角色MOD表[品质]=E192)*IF(D192="",1,(角色MOD表[属性]="")+ISNUMBER(FIND(D192,角色MOD表[属性]))),0),2),INDEX(武器MOD表[],MATCH(1,(武器MOD表[名称]=A192)*(武器MOD表[品质]=E192)*((武器MOD表[类型]=C192)+(武器MOD表[限定]=C192)),0),2))</f>
        <v>异化冥犬</v>
      </c>
    </row>
    <row r="193" spans="1:7">
      <c r="A193" t="s">
        <v>153</v>
      </c>
      <c r="B193" s="50" t="s">
        <v>943</v>
      </c>
      <c r="C193" t="s">
        <v>732</v>
      </c>
      <c r="E193" s="9" t="s">
        <v>825</v>
      </c>
      <c r="F193" s="4">
        <f>SUM(_xlfn.MAP(_xlfn.SEQUENCE(4),_xlfn.LAMBDA(_xlpm.i,POWER(36,4-_xlpm.i)*_xlfn.MAP(MID(代码表[[#This Row],[代码]],_xlpm.i,1),_xlfn.LAMBDA(_xlpm.a,IF(CODE(_xlpm.a)&gt;64,CODE(_xlpm.a)-55,CODE(_xlpm.a)-48))))))</f>
        <v>34004</v>
      </c>
      <c r="G193" s="10" t="str">
        <f t="array" ref="G193">IFERROR(INDEX(角色MOD表[],MATCH(1,(角色MOD表[名称]=A193)*(角色MOD表[品质]=E193)*IF(D193="",1,(角色MOD表[属性]="")+ISNUMBER(FIND(D193,角色MOD表[属性]))),0),2),INDEX(武器MOD表[],MATCH(1,(武器MOD表[名称]=A193)*(武器MOD表[品质]=E193)*((武器MOD表[类型]=C193)+(武器MOD表[限定]=C193)),0),2))</f>
        <v>异化冥犬</v>
      </c>
    </row>
    <row r="194" spans="1:7">
      <c r="A194" t="s">
        <v>809</v>
      </c>
      <c r="B194" s="50" t="s">
        <v>944</v>
      </c>
      <c r="C194" t="s">
        <v>732</v>
      </c>
      <c r="E194" s="9" t="s">
        <v>825</v>
      </c>
      <c r="F194" s="4">
        <f>SUM(_xlfn.MAP(_xlfn.SEQUENCE(4),_xlfn.LAMBDA(_xlpm.i,POWER(36,4-_xlpm.i)*_xlfn.MAP(MID(代码表[[#This Row],[代码]],_xlpm.i,1),_xlfn.LAMBDA(_xlpm.a,IF(CODE(_xlpm.a)&gt;64,CODE(_xlpm.a)-55,CODE(_xlpm.a)-48))))))</f>
        <v>34005</v>
      </c>
      <c r="G194" s="10" t="str">
        <f t="array" ref="G194">IFERROR(INDEX(角色MOD表[],MATCH(1,(角色MOD表[名称]=A194)*(角色MOD表[品质]=E194)*IF(D194="",1,(角色MOD表[属性]="")+ISNUMBER(FIND(D194,角色MOD表[属性]))),0),2),INDEX(武器MOD表[],MATCH(1,(武器MOD表[名称]=A194)*(武器MOD表[品质]=E194)*((武器MOD表[类型]=C194)+(武器MOD表[限定]=C194)),0),2))</f>
        <v>异化冥犬</v>
      </c>
    </row>
    <row r="195" spans="1:7">
      <c r="A195" t="s">
        <v>717</v>
      </c>
      <c r="B195" s="50" t="s">
        <v>945</v>
      </c>
      <c r="C195" t="s">
        <v>732</v>
      </c>
      <c r="E195" s="9" t="s">
        <v>825</v>
      </c>
      <c r="F195" s="4">
        <f>SUM(_xlfn.MAP(_xlfn.SEQUENCE(4),_xlfn.LAMBDA(_xlpm.i,POWER(36,4-_xlpm.i)*_xlfn.MAP(MID(代码表[[#This Row],[代码]],_xlpm.i,1),_xlfn.LAMBDA(_xlpm.a,IF(CODE(_xlpm.a)&gt;64,CODE(_xlpm.a)-55,CODE(_xlpm.a)-48))))))</f>
        <v>34006</v>
      </c>
      <c r="G195" s="10" t="str">
        <f t="array" ref="G195">IFERROR(INDEX(角色MOD表[],MATCH(1,(角色MOD表[名称]=A195)*(角色MOD表[品质]=E195)*IF(D195="",1,(角色MOD表[属性]="")+ISNUMBER(FIND(D195,角色MOD表[属性]))),0),2),INDEX(武器MOD表[],MATCH(1,(武器MOD表[名称]=A195)*(武器MOD表[品质]=E195)*((武器MOD表[类型]=C195)+(武器MOD表[限定]=C195)),0),2))</f>
        <v>异化冥犬</v>
      </c>
    </row>
    <row r="196" spans="1:7">
      <c r="A196" t="s">
        <v>155</v>
      </c>
      <c r="B196" s="50" t="s">
        <v>946</v>
      </c>
      <c r="C196" t="s">
        <v>732</v>
      </c>
      <c r="E196" s="9" t="s">
        <v>825</v>
      </c>
      <c r="F196" s="4">
        <f>SUM(_xlfn.MAP(_xlfn.SEQUENCE(4),_xlfn.LAMBDA(_xlpm.i,POWER(36,4-_xlpm.i)*_xlfn.MAP(MID(代码表[[#This Row],[代码]],_xlpm.i,1),_xlfn.LAMBDA(_xlpm.a,IF(CODE(_xlpm.a)&gt;64,CODE(_xlpm.a)-55,CODE(_xlpm.a)-48))))))</f>
        <v>34101</v>
      </c>
      <c r="G196" s="10" t="str">
        <f t="array" ref="G196">IFERROR(INDEX(角色MOD表[],MATCH(1,(角色MOD表[名称]=A196)*(角色MOD表[品质]=E196)*IF(D196="",1,(角色MOD表[属性]="")+ISNUMBER(FIND(D196,角色MOD表[属性]))),0),2),INDEX(武器MOD表[],MATCH(1,(武器MOD表[名称]=A196)*(武器MOD表[品质]=E196)*((武器MOD表[类型]=C196)+(武器MOD表[限定]=C196)),0),2))</f>
        <v>异化冥犬</v>
      </c>
    </row>
    <row r="197" spans="1:7">
      <c r="A197" s="9" t="s">
        <v>720</v>
      </c>
      <c r="B197" s="50" t="s">
        <v>947</v>
      </c>
      <c r="C197" t="s">
        <v>732</v>
      </c>
      <c r="E197" s="9" t="s">
        <v>825</v>
      </c>
      <c r="F197" s="4">
        <f>SUM(_xlfn.MAP(_xlfn.SEQUENCE(4),_xlfn.LAMBDA(_xlpm.i,POWER(36,4-_xlpm.i)*_xlfn.MAP(MID(代码表[[#This Row],[代码]],_xlpm.i,1),_xlfn.LAMBDA(_xlpm.a,IF(CODE(_xlpm.a)&gt;64,CODE(_xlpm.a)-55,CODE(_xlpm.a)-48))))))</f>
        <v>34102</v>
      </c>
      <c r="G197" s="10" t="str">
        <f t="array" ref="G197">IFERROR(INDEX(角色MOD表[],MATCH(1,(角色MOD表[名称]=A197)*(角色MOD表[品质]=E197)*IF(D197="",1,(角色MOD表[属性]="")+ISNUMBER(FIND(D197,角色MOD表[属性]))),0),2),INDEX(武器MOD表[],MATCH(1,(武器MOD表[名称]=A197)*(武器MOD表[品质]=E197)*((武器MOD表[类型]=C197)+(武器MOD表[限定]=C197)),0),2))</f>
        <v>异化冥犬</v>
      </c>
    </row>
    <row r="198" spans="1:7">
      <c r="A198" s="9" t="s">
        <v>722</v>
      </c>
      <c r="B198" s="50" t="s">
        <v>948</v>
      </c>
      <c r="C198" t="s">
        <v>732</v>
      </c>
      <c r="E198" s="9" t="s">
        <v>825</v>
      </c>
      <c r="F198" s="4">
        <f>SUM(_xlfn.MAP(_xlfn.SEQUENCE(4),_xlfn.LAMBDA(_xlpm.i,POWER(36,4-_xlpm.i)*_xlfn.MAP(MID(代码表[[#This Row],[代码]],_xlpm.i,1),_xlfn.LAMBDA(_xlpm.a,IF(CODE(_xlpm.a)&gt;64,CODE(_xlpm.a)-55,CODE(_xlpm.a)-48))))))</f>
        <v>34103</v>
      </c>
      <c r="G198" s="10" t="str">
        <f t="array" ref="G198">IFERROR(INDEX(角色MOD表[],MATCH(1,(角色MOD表[名称]=A198)*(角色MOD表[品质]=E198)*IF(D198="",1,(角色MOD表[属性]="")+ISNUMBER(FIND(D198,角色MOD表[属性]))),0),2),INDEX(武器MOD表[],MATCH(1,(武器MOD表[名称]=A198)*(武器MOD表[品质]=E198)*((武器MOD表[类型]=C198)+(武器MOD表[限定]=C198)),0),2))</f>
        <v>异化冥犬</v>
      </c>
    </row>
    <row r="199" spans="1:7">
      <c r="A199" t="s">
        <v>713</v>
      </c>
      <c r="B199" s="51" t="s">
        <v>949</v>
      </c>
      <c r="C199" t="s">
        <v>738</v>
      </c>
      <c r="E199" s="9" t="s">
        <v>825</v>
      </c>
      <c r="F199" s="4">
        <f>SUM(_xlfn.MAP(_xlfn.SEQUENCE(4),_xlfn.LAMBDA(_xlpm.i,POWER(36,4-_xlpm.i)*_xlfn.MAP(MID(代码表[[#This Row],[代码]],_xlpm.i,1),_xlfn.LAMBDA(_xlpm.a,IF(CODE(_xlpm.a)&gt;64,CODE(_xlpm.a)-55,CODE(_xlpm.a)-48))))))</f>
        <v>35001</v>
      </c>
      <c r="G199" s="10" t="str">
        <f t="array" ref="G199">IFERROR(INDEX(角色MOD表[],MATCH(1,(角色MOD表[名称]=A199)*(角色MOD表[品质]=E199)*IF(D199="",1,(角色MOD表[属性]="")+ISNUMBER(FIND(D199,角色MOD表[属性]))),0),2),INDEX(武器MOD表[],MATCH(1,(武器MOD表[名称]=A199)*(武器MOD表[品质]=E199)*((武器MOD表[类型]=C199)+(武器MOD表[限定]=C199)),0),2))</f>
        <v>异化夜魔</v>
      </c>
    </row>
    <row r="200" spans="1:7">
      <c r="A200" t="s">
        <v>177</v>
      </c>
      <c r="B200" s="51" t="s">
        <v>950</v>
      </c>
      <c r="C200" t="s">
        <v>738</v>
      </c>
      <c r="E200" s="9" t="s">
        <v>825</v>
      </c>
      <c r="F200" s="4">
        <f>SUM(_xlfn.MAP(_xlfn.SEQUENCE(4),_xlfn.LAMBDA(_xlpm.i,POWER(36,4-_xlpm.i)*_xlfn.MAP(MID(代码表[[#This Row],[代码]],_xlpm.i,1),_xlfn.LAMBDA(_xlpm.a,IF(CODE(_xlpm.a)&gt;64,CODE(_xlpm.a)-55,CODE(_xlpm.a)-48))))))</f>
        <v>35002</v>
      </c>
      <c r="G200" s="10" t="str">
        <f t="array" ref="G200">IFERROR(INDEX(角色MOD表[],MATCH(1,(角色MOD表[名称]=A200)*(角色MOD表[品质]=E200)*IF(D200="",1,(角色MOD表[属性]="")+ISNUMBER(FIND(D200,角色MOD表[属性]))),0),2),INDEX(武器MOD表[],MATCH(1,(武器MOD表[名称]=A200)*(武器MOD表[品质]=E200)*((武器MOD表[类型]=C200)+(武器MOD表[限定]=C200)),0),2))</f>
        <v>异化夜魔</v>
      </c>
    </row>
    <row r="201" spans="1:7">
      <c r="A201" t="s">
        <v>154</v>
      </c>
      <c r="B201" s="51" t="s">
        <v>951</v>
      </c>
      <c r="C201" t="s">
        <v>738</v>
      </c>
      <c r="E201" s="9" t="s">
        <v>825</v>
      </c>
      <c r="F201" s="4">
        <f>SUM(_xlfn.MAP(_xlfn.SEQUENCE(4),_xlfn.LAMBDA(_xlpm.i,POWER(36,4-_xlpm.i)*_xlfn.MAP(MID(代码表[[#This Row],[代码]],_xlpm.i,1),_xlfn.LAMBDA(_xlpm.a,IF(CODE(_xlpm.a)&gt;64,CODE(_xlpm.a)-55,CODE(_xlpm.a)-48))))))</f>
        <v>35003</v>
      </c>
      <c r="G201" s="10" t="str">
        <f t="array" ref="G201">IFERROR(INDEX(角色MOD表[],MATCH(1,(角色MOD表[名称]=A201)*(角色MOD表[品质]=E201)*IF(D201="",1,(角色MOD表[属性]="")+ISNUMBER(FIND(D201,角色MOD表[属性]))),0),2),INDEX(武器MOD表[],MATCH(1,(武器MOD表[名称]=A201)*(武器MOD表[品质]=E201)*((武器MOD表[类型]=C201)+(武器MOD表[限定]=C201)),0),2))</f>
        <v>异化夜魔</v>
      </c>
    </row>
    <row r="202" spans="1:7">
      <c r="A202" t="s">
        <v>153</v>
      </c>
      <c r="B202" s="50" t="s">
        <v>952</v>
      </c>
      <c r="C202" t="s">
        <v>738</v>
      </c>
      <c r="E202" s="9" t="s">
        <v>825</v>
      </c>
      <c r="F202" s="4">
        <f>SUM(_xlfn.MAP(_xlfn.SEQUENCE(4),_xlfn.LAMBDA(_xlpm.i,POWER(36,4-_xlpm.i)*_xlfn.MAP(MID(代码表[[#This Row],[代码]],_xlpm.i,1),_xlfn.LAMBDA(_xlpm.a,IF(CODE(_xlpm.a)&gt;64,CODE(_xlpm.a)-55,CODE(_xlpm.a)-48))))))</f>
        <v>35004</v>
      </c>
      <c r="G202" s="10" t="str">
        <f t="array" ref="G202">IFERROR(INDEX(角色MOD表[],MATCH(1,(角色MOD表[名称]=A202)*(角色MOD表[品质]=E202)*IF(D202="",1,(角色MOD表[属性]="")+ISNUMBER(FIND(D202,角色MOD表[属性]))),0),2),INDEX(武器MOD表[],MATCH(1,(武器MOD表[名称]=A202)*(武器MOD表[品质]=E202)*((武器MOD表[类型]=C202)+(武器MOD表[限定]=C202)),0),2))</f>
        <v>异化夜魔</v>
      </c>
    </row>
    <row r="203" spans="1:7">
      <c r="A203" t="s">
        <v>173</v>
      </c>
      <c r="B203" s="50" t="s">
        <v>953</v>
      </c>
      <c r="C203" t="s">
        <v>738</v>
      </c>
      <c r="E203" s="9" t="s">
        <v>825</v>
      </c>
      <c r="F203" s="4">
        <f>SUM(_xlfn.MAP(_xlfn.SEQUENCE(4),_xlfn.LAMBDA(_xlpm.i,POWER(36,4-_xlpm.i)*_xlfn.MAP(MID(代码表[[#This Row],[代码]],_xlpm.i,1),_xlfn.LAMBDA(_xlpm.a,IF(CODE(_xlpm.a)&gt;64,CODE(_xlpm.a)-55,CODE(_xlpm.a)-48))))))</f>
        <v>35005</v>
      </c>
      <c r="G203" s="10" t="str">
        <f t="array" ref="G203">IFERROR(INDEX(角色MOD表[],MATCH(1,(角色MOD表[名称]=A203)*(角色MOD表[品质]=E203)*IF(D203="",1,(角色MOD表[属性]="")+ISNUMBER(FIND(D203,角色MOD表[属性]))),0),2),INDEX(武器MOD表[],MATCH(1,(武器MOD表[名称]=A203)*(武器MOD表[品质]=E203)*((武器MOD表[类型]=C203)+(武器MOD表[限定]=C203)),0),2))</f>
        <v>异化夜魔</v>
      </c>
    </row>
    <row r="204" spans="1:7">
      <c r="A204" t="s">
        <v>717</v>
      </c>
      <c r="B204" s="50" t="s">
        <v>954</v>
      </c>
      <c r="C204" t="s">
        <v>738</v>
      </c>
      <c r="E204" s="9" t="s">
        <v>825</v>
      </c>
      <c r="F204" s="4">
        <f>SUM(_xlfn.MAP(_xlfn.SEQUENCE(4),_xlfn.LAMBDA(_xlpm.i,POWER(36,4-_xlpm.i)*_xlfn.MAP(MID(代码表[[#This Row],[代码]],_xlpm.i,1),_xlfn.LAMBDA(_xlpm.a,IF(CODE(_xlpm.a)&gt;64,CODE(_xlpm.a)-55,CODE(_xlpm.a)-48))))))</f>
        <v>35006</v>
      </c>
      <c r="G204" s="10" t="str">
        <f t="array" ref="G204">IFERROR(INDEX(角色MOD表[],MATCH(1,(角色MOD表[名称]=A204)*(角色MOD表[品质]=E204)*IF(D204="",1,(角色MOD表[属性]="")+ISNUMBER(FIND(D204,角色MOD表[属性]))),0),2),INDEX(武器MOD表[],MATCH(1,(武器MOD表[名称]=A204)*(武器MOD表[品质]=E204)*((武器MOD表[类型]=C204)+(武器MOD表[限定]=C204)),0),2))</f>
        <v>异化夜魔</v>
      </c>
    </row>
    <row r="205" spans="1:7">
      <c r="A205" t="s">
        <v>155</v>
      </c>
      <c r="B205" s="50" t="s">
        <v>955</v>
      </c>
      <c r="C205" t="s">
        <v>738</v>
      </c>
      <c r="E205" s="9" t="s">
        <v>825</v>
      </c>
      <c r="F205" s="4">
        <f>SUM(_xlfn.MAP(_xlfn.SEQUENCE(4),_xlfn.LAMBDA(_xlpm.i,POWER(36,4-_xlpm.i)*_xlfn.MAP(MID(代码表[[#This Row],[代码]],_xlpm.i,1),_xlfn.LAMBDA(_xlpm.a,IF(CODE(_xlpm.a)&gt;64,CODE(_xlpm.a)-55,CODE(_xlpm.a)-48))))))</f>
        <v>35101</v>
      </c>
      <c r="G205" s="10" t="str">
        <f t="array" ref="G205">IFERROR(INDEX(角色MOD表[],MATCH(1,(角色MOD表[名称]=A205)*(角色MOD表[品质]=E205)*IF(D205="",1,(角色MOD表[属性]="")+ISNUMBER(FIND(D205,角色MOD表[属性]))),0),2),INDEX(武器MOD表[],MATCH(1,(武器MOD表[名称]=A205)*(武器MOD表[品质]=E205)*((武器MOD表[类型]=C205)+(武器MOD表[限定]=C205)),0),2))</f>
        <v>异化夜魔</v>
      </c>
    </row>
    <row r="206" spans="1:7">
      <c r="A206" s="9" t="s">
        <v>720</v>
      </c>
      <c r="B206" s="50" t="s">
        <v>956</v>
      </c>
      <c r="C206" t="s">
        <v>738</v>
      </c>
      <c r="E206" s="9" t="s">
        <v>825</v>
      </c>
      <c r="F206" s="4">
        <f>SUM(_xlfn.MAP(_xlfn.SEQUENCE(4),_xlfn.LAMBDA(_xlpm.i,POWER(36,4-_xlpm.i)*_xlfn.MAP(MID(代码表[[#This Row],[代码]],_xlpm.i,1),_xlfn.LAMBDA(_xlpm.a,IF(CODE(_xlpm.a)&gt;64,CODE(_xlpm.a)-55,CODE(_xlpm.a)-48))))))</f>
        <v>35102</v>
      </c>
      <c r="G206" s="10" t="str">
        <f t="array" ref="G206">IFERROR(INDEX(角色MOD表[],MATCH(1,(角色MOD表[名称]=A206)*(角色MOD表[品质]=E206)*IF(D206="",1,(角色MOD表[属性]="")+ISNUMBER(FIND(D206,角色MOD表[属性]))),0),2),INDEX(武器MOD表[],MATCH(1,(武器MOD表[名称]=A206)*(武器MOD表[品质]=E206)*((武器MOD表[类型]=C206)+(武器MOD表[限定]=C206)),0),2))</f>
        <v>异化夜魔</v>
      </c>
    </row>
    <row r="207" spans="1:7">
      <c r="A207" s="52" t="s">
        <v>722</v>
      </c>
      <c r="B207" s="50" t="s">
        <v>957</v>
      </c>
      <c r="C207" t="s">
        <v>738</v>
      </c>
      <c r="E207" s="9" t="s">
        <v>825</v>
      </c>
      <c r="F207" s="4">
        <f>SUM(_xlfn.MAP(_xlfn.SEQUENCE(4),_xlfn.LAMBDA(_xlpm.i,POWER(36,4-_xlpm.i)*_xlfn.MAP(MID(代码表[[#This Row],[代码]],_xlpm.i,1),_xlfn.LAMBDA(_xlpm.a,IF(CODE(_xlpm.a)&gt;64,CODE(_xlpm.a)-55,CODE(_xlpm.a)-48))))))</f>
        <v>35103</v>
      </c>
      <c r="G207" s="10" t="str">
        <f t="array" ref="G207">IFERROR(INDEX(角色MOD表[],MATCH(1,(角色MOD表[名称]=A207)*(角色MOD表[品质]=E207)*IF(D207="",1,(角色MOD表[属性]="")+ISNUMBER(FIND(D207,角色MOD表[属性]))),0),2),INDEX(武器MOD表[],MATCH(1,(武器MOD表[名称]=A207)*(武器MOD表[品质]=E207)*((武器MOD表[类型]=C207)+(武器MOD表[限定]=C207)),0),2))</f>
        <v>异化夜魔</v>
      </c>
    </row>
    <row r="208" spans="1:7">
      <c r="A208" s="53" t="s">
        <v>702</v>
      </c>
      <c r="B208" s="50" t="s">
        <v>958</v>
      </c>
      <c r="C208" t="s">
        <v>16</v>
      </c>
      <c r="E208" t="s">
        <v>959</v>
      </c>
      <c r="F208">
        <f t="array" ref="F208">SUM(_xlfn.MAP(_xlfn.SEQUENCE(4),_xlfn.LAMBDA(_xlpm.i,POWER(36,4-_xlpm.i)*_xlfn.MAP(MID(代码表[[#This Row],[代码]],_xlpm.i,1),_xlfn.LAMBDA(_xlpm.a,IF(CODE(_xlpm.a)&gt;64,CODE(_xlpm.a)-55,CODE(_xlpm.a)-48))))))</f>
        <v>41001</v>
      </c>
      <c r="G208" s="10" t="str">
        <f t="array" ref="G208">IFERROR(INDEX(角色MOD表[],MATCH(1,(角色MOD表[名称]=A208)*(角色MOD表[品质]=E208)*IF(D208="",1,(角色MOD表[属性]="")+ISNUMBER(FIND(D208,角色MOD表[属性]))),0),2),INDEX(武器MOD表[],MATCH(1,(武器MOD表[名称]=A208)*(武器MOD表[品质]=E208)*((武器MOD表[类型]=C208)+(武器MOD表[限定]=C208)),0),2))</f>
        <v>不死鸟</v>
      </c>
    </row>
    <row r="209" spans="1:7">
      <c r="A209" s="54" t="s">
        <v>705</v>
      </c>
      <c r="B209" s="50" t="s">
        <v>960</v>
      </c>
      <c r="C209" t="s">
        <v>16</v>
      </c>
      <c r="D209"/>
      <c r="E209" t="s">
        <v>959</v>
      </c>
      <c r="F209">
        <f t="array" ref="F209">SUM(_xlfn.MAP(_xlfn.SEQUENCE(4),_xlfn.LAMBDA(_xlpm.i,POWER(36,4-_xlpm.i)*_xlfn.MAP(MID(代码表[[#This Row],[代码]],_xlpm.i,1),_xlfn.LAMBDA(_xlpm.a,IF(CODE(_xlpm.a)&gt;64,CODE(_xlpm.a)-55,CODE(_xlpm.a)-48))))))</f>
        <v>41002</v>
      </c>
      <c r="G209" s="10" t="str">
        <f t="array" ref="G209">IFERROR(INDEX(角色MOD表[],MATCH(1,(角色MOD表[名称]=A209)*(角色MOD表[品质]=E209)*IF(D209="",1,(角色MOD表[属性]="")+ISNUMBER(FIND(D209,角色MOD表[属性]))),0),2),INDEX(武器MOD表[],MATCH(1,(武器MOD表[名称]=A209)*(武器MOD表[品质]=E209)*((武器MOD表[类型]=C209)+(武器MOD表[限定]=C209)),0),2))</f>
        <v>不死鸟</v>
      </c>
    </row>
    <row r="210" spans="1:7">
      <c r="A210" t="s">
        <v>707</v>
      </c>
      <c r="B210" s="50" t="s">
        <v>961</v>
      </c>
      <c r="C210" t="s">
        <v>16</v>
      </c>
      <c r="D210"/>
      <c r="E210" t="s">
        <v>959</v>
      </c>
      <c r="F210">
        <f t="array" ref="F210">SUM(_xlfn.MAP(_xlfn.SEQUENCE(4),_xlfn.LAMBDA(_xlpm.i,POWER(36,4-_xlpm.i)*_xlfn.MAP(MID(代码表[[#This Row],[代码]],_xlpm.i,1),_xlfn.LAMBDA(_xlpm.a,IF(CODE(_xlpm.a)&gt;64,CODE(_xlpm.a)-55,CODE(_xlpm.a)-48))))))</f>
        <v>41003</v>
      </c>
      <c r="G210" s="10" t="str">
        <f t="array" ref="G210">IFERROR(INDEX(角色MOD表[],MATCH(1,(角色MOD表[名称]=A210)*(角色MOD表[品质]=E210)*IF(D210="",1,(角色MOD表[属性]="")+ISNUMBER(FIND(D210,角色MOD表[属性]))),0),2),INDEX(武器MOD表[],MATCH(1,(武器MOD表[名称]=A210)*(武器MOD表[品质]=E210)*((武器MOD表[类型]=C210)+(武器MOD表[限定]=C210)),0),2))</f>
        <v>不死鸟</v>
      </c>
    </row>
    <row r="211" spans="1:7">
      <c r="A211" t="s">
        <v>709</v>
      </c>
      <c r="B211" s="50" t="s">
        <v>962</v>
      </c>
      <c r="C211" t="s">
        <v>16</v>
      </c>
      <c r="D211"/>
      <c r="E211" t="s">
        <v>959</v>
      </c>
      <c r="F211">
        <f t="array" ref="F211">SUM(_xlfn.MAP(_xlfn.SEQUENCE(4),_xlfn.LAMBDA(_xlpm.i,POWER(36,4-_xlpm.i)*_xlfn.MAP(MID(代码表[[#This Row],[代码]],_xlpm.i,1),_xlfn.LAMBDA(_xlpm.a,IF(CODE(_xlpm.a)&gt;64,CODE(_xlpm.a)-55,CODE(_xlpm.a)-48))))))</f>
        <v>41004</v>
      </c>
      <c r="G211" s="10" t="str">
        <f t="array" ref="G211">IFERROR(INDEX(角色MOD表[],MATCH(1,(角色MOD表[名称]=A211)*(角色MOD表[品质]=E211)*IF(D211="",1,(角色MOD表[属性]="")+ISNUMBER(FIND(D211,角色MOD表[属性]))),0),2),INDEX(武器MOD表[],MATCH(1,(武器MOD表[名称]=A211)*(武器MOD表[品质]=E211)*((武器MOD表[类型]=C211)+(武器MOD表[限定]=C211)),0),2))</f>
        <v>不死鸟</v>
      </c>
    </row>
    <row r="212" spans="1:7">
      <c r="A212" t="s">
        <v>711</v>
      </c>
      <c r="B212" s="50" t="s">
        <v>963</v>
      </c>
      <c r="C212" t="s">
        <v>16</v>
      </c>
      <c r="D212"/>
      <c r="E212" t="s">
        <v>959</v>
      </c>
      <c r="F212">
        <f t="array" ref="F212">SUM(_xlfn.MAP(_xlfn.SEQUENCE(4),_xlfn.LAMBDA(_xlpm.i,POWER(36,4-_xlpm.i)*_xlfn.MAP(MID(代码表[[#This Row],[代码]],_xlpm.i,1),_xlfn.LAMBDA(_xlpm.a,IF(CODE(_xlpm.a)&gt;64,CODE(_xlpm.a)-55,CODE(_xlpm.a)-48))))))</f>
        <v>41007</v>
      </c>
      <c r="G212" s="10" t="str">
        <f t="array" ref="G212">IFERROR(INDEX(角色MOD表[],MATCH(1,(角色MOD表[名称]=A212)*(角色MOD表[品质]=E212)*IF(D212="",1,(角色MOD表[属性]="")+ISNUMBER(FIND(D212,角色MOD表[属性]))),0),2),INDEX(武器MOD表[],MATCH(1,(武器MOD表[名称]=A212)*(武器MOD表[品质]=E212)*((武器MOD表[类型]=C212)+(武器MOD表[限定]=C212)),0),2))</f>
        <v>不死鸟</v>
      </c>
    </row>
    <row r="213" spans="1:7">
      <c r="A213" t="s">
        <v>964</v>
      </c>
      <c r="B213" s="50" t="s">
        <v>965</v>
      </c>
      <c r="C213" t="s">
        <v>16</v>
      </c>
      <c r="D213"/>
      <c r="E213" t="s">
        <v>959</v>
      </c>
      <c r="F213">
        <f t="array" ref="F213">SUM(_xlfn.MAP(_xlfn.SEQUENCE(4),_xlfn.LAMBDA(_xlpm.i,POWER(36,4-_xlpm.i)*_xlfn.MAP(MID(代码表[[#This Row],[代码]],_xlpm.i,1),_xlfn.LAMBDA(_xlpm.a,IF(CODE(_xlpm.a)&gt;64,CODE(_xlpm.a)-55,CODE(_xlpm.a)-48))))))</f>
        <v>41213</v>
      </c>
      <c r="G213" s="10" t="str">
        <f t="array" ref="G213">IFERROR(INDEX(角色MOD表[],MATCH(1,(角色MOD表[名称]=A213)*(角色MOD表[品质]=E213)*IF(D213="",1,(角色MOD表[属性]="")+ISNUMBER(FIND(D213,角色MOD表[属性]))),0),2),INDEX(武器MOD表[],MATCH(1,(武器MOD表[名称]=A213)*(武器MOD表[品质]=E213)*((武器MOD表[类型]=C213)+(武器MOD表[限定]=C213)),0),2))</f>
        <v>牧神</v>
      </c>
    </row>
    <row r="214" spans="1:7">
      <c r="A214" t="s">
        <v>966</v>
      </c>
      <c r="B214" s="50" t="s">
        <v>967</v>
      </c>
      <c r="C214" t="s">
        <v>16</v>
      </c>
      <c r="D214"/>
      <c r="E214" t="s">
        <v>959</v>
      </c>
      <c r="F214">
        <f t="array" ref="F214">SUM(_xlfn.MAP(_xlfn.SEQUENCE(4),_xlfn.LAMBDA(_xlpm.i,POWER(36,4-_xlpm.i)*_xlfn.MAP(MID(代码表[[#This Row],[代码]],_xlpm.i,1),_xlfn.LAMBDA(_xlpm.a,IF(CODE(_xlpm.a)&gt;64,CODE(_xlpm.a)-55,CODE(_xlpm.a)-48))))))</f>
        <v>41214</v>
      </c>
      <c r="G214" s="10" t="str">
        <f t="array" ref="G214">IFERROR(INDEX(角色MOD表[],MATCH(1,(角色MOD表[名称]=A214)*(角色MOD表[品质]=E214)*IF(D214="",1,(角色MOD表[属性]="")+ISNUMBER(FIND(D214,角色MOD表[属性]))),0),2),INDEX(武器MOD表[],MATCH(1,(武器MOD表[名称]=A214)*(武器MOD表[品质]=E214)*((武器MOD表[类型]=C214)+(武器MOD表[限定]=C214)),0),2))</f>
        <v>牧神</v>
      </c>
    </row>
    <row r="215" spans="1:7">
      <c r="A215" t="s">
        <v>129</v>
      </c>
      <c r="B215" s="50" t="s">
        <v>968</v>
      </c>
      <c r="C215" t="s">
        <v>16</v>
      </c>
      <c r="D215"/>
      <c r="E215" t="s">
        <v>959</v>
      </c>
      <c r="F215">
        <f t="array" ref="F215">SUM(_xlfn.MAP(_xlfn.SEQUENCE(4),_xlfn.LAMBDA(_xlpm.i,POWER(36,4-_xlpm.i)*_xlfn.MAP(MID(代码表[[#This Row],[代码]],_xlpm.i,1),_xlfn.LAMBDA(_xlpm.a,IF(CODE(_xlpm.a)&gt;64,CODE(_xlpm.a)-55,CODE(_xlpm.a)-48))))))</f>
        <v>41311</v>
      </c>
      <c r="G215" s="10" t="str">
        <f t="array" ref="G215">IFERROR(INDEX(角色MOD表[],MATCH(1,(角色MOD表[名称]=A215)*(角色MOD表[品质]=E215)*IF(D215="",1,(角色MOD表[属性]="")+ISNUMBER(FIND(D215,角色MOD表[属性]))),0),2),INDEX(武器MOD表[],MATCH(1,(武器MOD表[名称]=A215)*(武器MOD表[品质]=E215)*((武器MOD表[类型]=C215)+(武器MOD表[限定]=C215)),0),2))</f>
        <v>人面狮</v>
      </c>
    </row>
    <row r="216" spans="1:7">
      <c r="A216" t="s">
        <v>969</v>
      </c>
      <c r="B216" s="50" t="s">
        <v>970</v>
      </c>
      <c r="C216" t="s">
        <v>16</v>
      </c>
      <c r="D216"/>
      <c r="E216" t="s">
        <v>959</v>
      </c>
      <c r="F216">
        <f t="array" ref="F216">SUM(_xlfn.MAP(_xlfn.SEQUENCE(4),_xlfn.LAMBDA(_xlpm.i,POWER(36,4-_xlpm.i)*_xlfn.MAP(MID(代码表[[#This Row],[代码]],_xlpm.i,1),_xlfn.LAMBDA(_xlpm.a,IF(CODE(_xlpm.a)&gt;64,CODE(_xlpm.a)-55,CODE(_xlpm.a)-48))))))</f>
        <v>41312</v>
      </c>
      <c r="G216" s="10" t="str">
        <f t="array" ref="G216">IFERROR(INDEX(角色MOD表[],MATCH(1,(角色MOD表[名称]=A216)*(角色MOD表[品质]=E216)*IF(D216="",1,(角色MOD表[属性]="")+ISNUMBER(FIND(D216,角色MOD表[属性]))),0),2),INDEX(武器MOD表[],MATCH(1,(武器MOD表[名称]=A216)*(武器MOD表[品质]=E216)*((武器MOD表[类型]=C216)+(武器MOD表[限定]=C216)),0),2))</f>
        <v>人面狮</v>
      </c>
    </row>
    <row r="217" spans="1:7">
      <c r="A217" t="s">
        <v>131</v>
      </c>
      <c r="B217" s="50" t="s">
        <v>971</v>
      </c>
      <c r="C217" t="s">
        <v>16</v>
      </c>
      <c r="D217"/>
      <c r="E217" t="s">
        <v>959</v>
      </c>
      <c r="F217">
        <f t="array" ref="F217">SUM(_xlfn.MAP(_xlfn.SEQUENCE(4),_xlfn.LAMBDA(_xlpm.i,POWER(36,4-_xlpm.i)*_xlfn.MAP(MID(代码表[[#This Row],[代码]],_xlpm.i,1),_xlfn.LAMBDA(_xlpm.a,IF(CODE(_xlpm.a)&gt;64,CODE(_xlpm.a)-55,CODE(_xlpm.a)-48))))))</f>
        <v>41313</v>
      </c>
      <c r="G217" s="10" t="str">
        <f t="array" ref="G217">IFERROR(INDEX(角色MOD表[],MATCH(1,(角色MOD表[名称]=A217)*(角色MOD表[品质]=E217)*IF(D217="",1,(角色MOD表[属性]="")+ISNUMBER(FIND(D217,角色MOD表[属性]))),0),2),INDEX(武器MOD表[],MATCH(1,(武器MOD表[名称]=A217)*(武器MOD表[品质]=E217)*((武器MOD表[类型]=C217)+(武器MOD表[限定]=C217)),0),2))</f>
        <v>人面狮</v>
      </c>
    </row>
    <row r="218" spans="1:7">
      <c r="A218" t="s">
        <v>972</v>
      </c>
      <c r="B218" s="50" t="s">
        <v>973</v>
      </c>
      <c r="C218" t="s">
        <v>16</v>
      </c>
      <c r="D218"/>
      <c r="E218" t="s">
        <v>959</v>
      </c>
      <c r="F218">
        <f t="array" ref="F218">SUM(_xlfn.MAP(_xlfn.SEQUENCE(4),_xlfn.LAMBDA(_xlpm.i,POWER(36,4-_xlpm.i)*_xlfn.MAP(MID(代码表[[#This Row],[代码]],_xlpm.i,1),_xlfn.LAMBDA(_xlpm.a,IF(CODE(_xlpm.a)&gt;64,CODE(_xlpm.a)-55,CODE(_xlpm.a)-48))))))</f>
        <v>41314</v>
      </c>
      <c r="G218" s="10" t="str">
        <f t="array" ref="G218">IFERROR(INDEX(角色MOD表[],MATCH(1,(角色MOD表[名称]=A218)*(角色MOD表[品质]=E218)*IF(D218="",1,(角色MOD表[属性]="")+ISNUMBER(FIND(D218,角色MOD表[属性]))),0),2),INDEX(武器MOD表[],MATCH(1,(武器MOD表[名称]=A218)*(武器MOD表[品质]=E218)*((武器MOD表[类型]=C218)+(武器MOD表[限定]=C218)),0),2))</f>
        <v>人面狮</v>
      </c>
    </row>
    <row r="219" spans="1:7">
      <c r="A219" t="s">
        <v>113</v>
      </c>
      <c r="B219" s="50" t="s">
        <v>974</v>
      </c>
      <c r="C219" t="s">
        <v>16</v>
      </c>
      <c r="D219"/>
      <c r="E219" t="s">
        <v>959</v>
      </c>
      <c r="F219">
        <f t="array" ref="F219">SUM(_xlfn.MAP(_xlfn.SEQUENCE(4),_xlfn.LAMBDA(_xlpm.i,POWER(36,4-_xlpm.i)*_xlfn.MAP(MID(代码表[[#This Row],[代码]],_xlpm.i,1),_xlfn.LAMBDA(_xlpm.a,IF(CODE(_xlpm.a)&gt;64,CODE(_xlpm.a)-55,CODE(_xlpm.a)-48))))))</f>
        <v>41315</v>
      </c>
      <c r="G219" s="10" t="str">
        <f t="array" ref="G219">IFERROR(INDEX(角色MOD表[],MATCH(1,(角色MOD表[名称]=A219)*(角色MOD表[品质]=E219)*IF(D219="",1,(角色MOD表[属性]="")+ISNUMBER(FIND(D219,角色MOD表[属性]))),0),2),INDEX(武器MOD表[],MATCH(1,(武器MOD表[名称]=A219)*(武器MOD表[品质]=E219)*((武器MOD表[类型]=C219)+(武器MOD表[限定]=C219)),0),2))</f>
        <v>人面狮</v>
      </c>
    </row>
    <row r="220" spans="1:7">
      <c r="A220" t="s">
        <v>975</v>
      </c>
      <c r="B220" s="50" t="s">
        <v>976</v>
      </c>
      <c r="C220" t="s">
        <v>16</v>
      </c>
      <c r="D220"/>
      <c r="E220" t="s">
        <v>959</v>
      </c>
      <c r="F220">
        <f t="array" ref="F220">SUM(_xlfn.MAP(_xlfn.SEQUENCE(4),_xlfn.LAMBDA(_xlpm.i,POWER(36,4-_xlpm.i)*_xlfn.MAP(MID(代码表[[#This Row],[代码]],_xlpm.i,1),_xlfn.LAMBDA(_xlpm.a,IF(CODE(_xlpm.a)&gt;64,CODE(_xlpm.a)-55,CODE(_xlpm.a)-48))))))</f>
        <v>41316</v>
      </c>
      <c r="G220" s="10" t="str">
        <f t="array" ref="G220">IFERROR(INDEX(角色MOD表[],MATCH(1,(角色MOD表[名称]=A220)*(角色MOD表[品质]=E220)*IF(D220="",1,(角色MOD表[属性]="")+ISNUMBER(FIND(D220,角色MOD表[属性]))),0),2),INDEX(武器MOD表[],MATCH(1,(武器MOD表[名称]=A220)*(武器MOD表[品质]=E220)*((武器MOD表[类型]=C220)+(武器MOD表[限定]=C220)),0),2))</f>
        <v>人面狮</v>
      </c>
    </row>
    <row r="221" spans="1:7">
      <c r="A221" t="s">
        <v>977</v>
      </c>
      <c r="B221" s="50" t="s">
        <v>978</v>
      </c>
      <c r="C221" t="s">
        <v>16</v>
      </c>
      <c r="D221" t="s">
        <v>79</v>
      </c>
      <c r="E221" t="s">
        <v>959</v>
      </c>
      <c r="F221">
        <f t="array" ref="F221">SUM(_xlfn.MAP(_xlfn.SEQUENCE(4),_xlfn.LAMBDA(_xlpm.i,POWER(36,4-_xlpm.i)*_xlfn.MAP(MID(代码表[[#This Row],[代码]],_xlpm.i,1),_xlfn.LAMBDA(_xlpm.a,IF(CODE(_xlpm.a)&gt;64,CODE(_xlpm.a)-55,CODE(_xlpm.a)-48))))))</f>
        <v>41321</v>
      </c>
      <c r="G221" s="10" t="str">
        <f t="array" ref="G221">IFERROR(INDEX(角色MOD表[],MATCH(1,(角色MOD表[名称]=A221)*(角色MOD表[品质]=E221)*IF(D221="",1,(角色MOD表[属性]="")+ISNUMBER(FIND(D221,角色MOD表[属性]))),0),2),INDEX(武器MOD表[],MATCH(1,(武器MOD表[名称]=A221)*(武器MOD表[品质]=E221)*((武器MOD表[类型]=C221)+(武器MOD表[限定]=C221)),0),2))</f>
        <v>狮鹫</v>
      </c>
    </row>
    <row r="222" spans="1:7">
      <c r="A222" t="s">
        <v>979</v>
      </c>
      <c r="B222" s="50" t="s">
        <v>980</v>
      </c>
      <c r="C222" t="s">
        <v>16</v>
      </c>
      <c r="D222" t="s">
        <v>23</v>
      </c>
      <c r="E222" t="s">
        <v>959</v>
      </c>
      <c r="F222">
        <f t="array" ref="F222">SUM(_xlfn.MAP(_xlfn.SEQUENCE(4),_xlfn.LAMBDA(_xlpm.i,POWER(36,4-_xlpm.i)*_xlfn.MAP(MID(代码表[[#This Row],[代码]],_xlpm.i,1),_xlfn.LAMBDA(_xlpm.a,IF(CODE(_xlpm.a)&gt;64,CODE(_xlpm.a)-55,CODE(_xlpm.a)-48))))))</f>
        <v>41322</v>
      </c>
      <c r="G222" s="10" t="str">
        <f t="array" ref="G222">IFERROR(INDEX(角色MOD表[],MATCH(1,(角色MOD表[名称]=A222)*(角色MOD表[品质]=E222)*IF(D222="",1,(角色MOD表[属性]="")+ISNUMBER(FIND(D222,角色MOD表[属性]))),0),2),INDEX(武器MOD表[],MATCH(1,(武器MOD表[名称]=A222)*(武器MOD表[品质]=E222)*((武器MOD表[类型]=C222)+(武器MOD表[限定]=C222)),0),2))</f>
        <v>狮鹫</v>
      </c>
    </row>
    <row r="223" spans="1:7">
      <c r="A223" t="s">
        <v>981</v>
      </c>
      <c r="B223" s="50" t="s">
        <v>982</v>
      </c>
      <c r="C223" t="s">
        <v>16</v>
      </c>
      <c r="D223" t="s">
        <v>37</v>
      </c>
      <c r="E223" t="s">
        <v>959</v>
      </c>
      <c r="F223">
        <f t="array" ref="F223">SUM(_xlfn.MAP(_xlfn.SEQUENCE(4),_xlfn.LAMBDA(_xlpm.i,POWER(36,4-_xlpm.i)*_xlfn.MAP(MID(代码表[[#This Row],[代码]],_xlpm.i,1),_xlfn.LAMBDA(_xlpm.a,IF(CODE(_xlpm.a)&gt;64,CODE(_xlpm.a)-55,CODE(_xlpm.a)-48))))))</f>
        <v>41323</v>
      </c>
      <c r="G223" s="10" t="str">
        <f t="array" ref="G223">IFERROR(INDEX(角色MOD表[],MATCH(1,(角色MOD表[名称]=A223)*(角色MOD表[品质]=E223)*IF(D223="",1,(角色MOD表[属性]="")+ISNUMBER(FIND(D223,角色MOD表[属性]))),0),2),INDEX(武器MOD表[],MATCH(1,(武器MOD表[名称]=A223)*(武器MOD表[品质]=E223)*((武器MOD表[类型]=C223)+(武器MOD表[限定]=C223)),0),2))</f>
        <v>狮鹫</v>
      </c>
    </row>
    <row r="224" spans="1:7">
      <c r="A224" t="s">
        <v>983</v>
      </c>
      <c r="B224" s="50" t="s">
        <v>984</v>
      </c>
      <c r="C224" t="s">
        <v>16</v>
      </c>
      <c r="D224" t="s">
        <v>10</v>
      </c>
      <c r="E224" t="s">
        <v>959</v>
      </c>
      <c r="F224">
        <f t="array" ref="F224">SUM(_xlfn.MAP(_xlfn.SEQUENCE(4),_xlfn.LAMBDA(_xlpm.i,POWER(36,4-_xlpm.i)*_xlfn.MAP(MID(代码表[[#This Row],[代码]],_xlpm.i,1),_xlfn.LAMBDA(_xlpm.a,IF(CODE(_xlpm.a)&gt;64,CODE(_xlpm.a)-55,CODE(_xlpm.a)-48))))))</f>
        <v>41324</v>
      </c>
      <c r="G224" s="10" t="str">
        <f t="array" ref="G224">IFERROR(INDEX(角色MOD表[],MATCH(1,(角色MOD表[名称]=A224)*(角色MOD表[品质]=E224)*IF(D224="",1,(角色MOD表[属性]="")+ISNUMBER(FIND(D224,角色MOD表[属性]))),0),2),INDEX(武器MOD表[],MATCH(1,(武器MOD表[名称]=A224)*(武器MOD表[品质]=E224)*((武器MOD表[类型]=C224)+(武器MOD表[限定]=C224)),0),2))</f>
        <v>狮鹫</v>
      </c>
    </row>
    <row r="225" spans="1:7">
      <c r="A225" t="s">
        <v>83</v>
      </c>
      <c r="B225" s="50" t="s">
        <v>985</v>
      </c>
      <c r="C225" t="s">
        <v>16</v>
      </c>
      <c r="D225" t="s">
        <v>43</v>
      </c>
      <c r="E225" t="s">
        <v>959</v>
      </c>
      <c r="F225">
        <f t="array" ref="F225">SUM(_xlfn.MAP(_xlfn.SEQUENCE(4),_xlfn.LAMBDA(_xlpm.i,POWER(36,4-_xlpm.i)*_xlfn.MAP(MID(代码表[[#This Row],[代码]],_xlpm.i,1),_xlfn.LAMBDA(_xlpm.a,IF(CODE(_xlpm.a)&gt;64,CODE(_xlpm.a)-55,CODE(_xlpm.a)-48))))))</f>
        <v>41325</v>
      </c>
      <c r="G225" s="10" t="str">
        <f t="array" ref="G225">IFERROR(INDEX(角色MOD表[],MATCH(1,(角色MOD表[名称]=A225)*(角色MOD表[品质]=E225)*IF(D225="",1,(角色MOD表[属性]="")+ISNUMBER(FIND(D225,角色MOD表[属性]))),0),2),INDEX(武器MOD表[],MATCH(1,(武器MOD表[名称]=A225)*(武器MOD表[品质]=E225)*((武器MOD表[类型]=C225)+(武器MOD表[限定]=C225)),0),2))</f>
        <v>狮鹫</v>
      </c>
    </row>
    <row r="226" spans="1:7">
      <c r="A226" t="s">
        <v>986</v>
      </c>
      <c r="B226" s="50" t="s">
        <v>987</v>
      </c>
      <c r="C226" t="s">
        <v>16</v>
      </c>
      <c r="D226" t="s">
        <v>72</v>
      </c>
      <c r="E226" t="s">
        <v>959</v>
      </c>
      <c r="F226">
        <f t="array" ref="F226">SUM(_xlfn.MAP(_xlfn.SEQUENCE(4),_xlfn.LAMBDA(_xlpm.i,POWER(36,4-_xlpm.i)*_xlfn.MAP(MID(代码表[[#This Row],[代码]],_xlpm.i,1),_xlfn.LAMBDA(_xlpm.a,IF(CODE(_xlpm.a)&gt;64,CODE(_xlpm.a)-55,CODE(_xlpm.a)-48))))))</f>
        <v>41326</v>
      </c>
      <c r="G226" s="10" t="str">
        <f t="array" ref="G226">IFERROR(INDEX(角色MOD表[],MATCH(1,(角色MOD表[名称]=A226)*(角色MOD表[品质]=E226)*IF(D226="",1,(角色MOD表[属性]="")+ISNUMBER(FIND(D226,角色MOD表[属性]))),0),2),INDEX(武器MOD表[],MATCH(1,(武器MOD表[名称]=A226)*(武器MOD表[品质]=E226)*((武器MOD表[类型]=C226)+(武器MOD表[限定]=C226)),0),2))</f>
        <v>狮鹫</v>
      </c>
    </row>
    <row r="227" spans="1:7">
      <c r="A227" t="s">
        <v>988</v>
      </c>
      <c r="B227" s="50" t="s">
        <v>989</v>
      </c>
      <c r="C227" t="s">
        <v>16</v>
      </c>
      <c r="D227" t="s">
        <v>79</v>
      </c>
      <c r="E227" t="s">
        <v>959</v>
      </c>
      <c r="F227">
        <f t="array" ref="F227">SUM(_xlfn.MAP(_xlfn.SEQUENCE(4),_xlfn.LAMBDA(_xlpm.i,POWER(36,4-_xlpm.i)*_xlfn.MAP(MID(代码表[[#This Row],[代码]],_xlpm.i,1),_xlfn.LAMBDA(_xlpm.a,IF(CODE(_xlpm.a)&gt;64,CODE(_xlpm.a)-55,CODE(_xlpm.a)-48))))))</f>
        <v>41331</v>
      </c>
      <c r="G227" s="10" t="str">
        <f t="array" ref="G227">IFERROR(INDEX(角色MOD表[],MATCH(1,(角色MOD表[名称]=A227)*(角色MOD表[品质]=E227)*IF(D227="",1,(角色MOD表[属性]="")+ISNUMBER(FIND(D227,角色MOD表[属性]))),0),2),INDEX(武器MOD表[],MATCH(1,(武器MOD表[名称]=A227)*(武器MOD表[品质]=E227)*((武器MOD表[类型]=C227)+(武器MOD表[限定]=C227)),0),2))</f>
        <v>狮鹫</v>
      </c>
    </row>
    <row r="228" spans="1:7">
      <c r="A228" t="s">
        <v>990</v>
      </c>
      <c r="B228" s="50" t="s">
        <v>991</v>
      </c>
      <c r="C228" t="s">
        <v>16</v>
      </c>
      <c r="D228" t="s">
        <v>23</v>
      </c>
      <c r="E228" t="s">
        <v>959</v>
      </c>
      <c r="F228">
        <f t="array" ref="F228">SUM(_xlfn.MAP(_xlfn.SEQUENCE(4),_xlfn.LAMBDA(_xlpm.i,POWER(36,4-_xlpm.i)*_xlfn.MAP(MID(代码表[[#This Row],[代码]],_xlpm.i,1),_xlfn.LAMBDA(_xlpm.a,IF(CODE(_xlpm.a)&gt;64,CODE(_xlpm.a)-55,CODE(_xlpm.a)-48))))))</f>
        <v>41332</v>
      </c>
      <c r="G228" s="10" t="str">
        <f t="array" ref="G228">IFERROR(INDEX(角色MOD表[],MATCH(1,(角色MOD表[名称]=A228)*(角色MOD表[品质]=E228)*IF(D228="",1,(角色MOD表[属性]="")+ISNUMBER(FIND(D228,角色MOD表[属性]))),0),2),INDEX(武器MOD表[],MATCH(1,(武器MOD表[名称]=A228)*(武器MOD表[品质]=E228)*((武器MOD表[类型]=C228)+(武器MOD表[限定]=C228)),0),2))</f>
        <v>狮鹫</v>
      </c>
    </row>
    <row r="229" spans="1:7">
      <c r="A229" t="s">
        <v>992</v>
      </c>
      <c r="B229" s="50" t="s">
        <v>993</v>
      </c>
      <c r="C229" t="s">
        <v>16</v>
      </c>
      <c r="D229" t="s">
        <v>37</v>
      </c>
      <c r="E229" t="s">
        <v>959</v>
      </c>
      <c r="F229">
        <f t="array" ref="F229">SUM(_xlfn.MAP(_xlfn.SEQUENCE(4),_xlfn.LAMBDA(_xlpm.i,POWER(36,4-_xlpm.i)*_xlfn.MAP(MID(代码表[[#This Row],[代码]],_xlpm.i,1),_xlfn.LAMBDA(_xlpm.a,IF(CODE(_xlpm.a)&gt;64,CODE(_xlpm.a)-55,CODE(_xlpm.a)-48))))))</f>
        <v>41333</v>
      </c>
      <c r="G229" s="10" t="str">
        <f t="array" ref="G229">IFERROR(INDEX(角色MOD表[],MATCH(1,(角色MOD表[名称]=A229)*(角色MOD表[品质]=E229)*IF(D229="",1,(角色MOD表[属性]="")+ISNUMBER(FIND(D229,角色MOD表[属性]))),0),2),INDEX(武器MOD表[],MATCH(1,(武器MOD表[名称]=A229)*(武器MOD表[品质]=E229)*((武器MOD表[类型]=C229)+(武器MOD表[限定]=C229)),0),2))</f>
        <v>狮鹫</v>
      </c>
    </row>
    <row r="230" spans="1:7">
      <c r="A230" t="s">
        <v>994</v>
      </c>
      <c r="B230" s="50" t="s">
        <v>995</v>
      </c>
      <c r="C230" t="s">
        <v>16</v>
      </c>
      <c r="D230" t="s">
        <v>10</v>
      </c>
      <c r="E230" t="s">
        <v>959</v>
      </c>
      <c r="F230">
        <f t="array" ref="F230">SUM(_xlfn.MAP(_xlfn.SEQUENCE(4),_xlfn.LAMBDA(_xlpm.i,POWER(36,4-_xlpm.i)*_xlfn.MAP(MID(代码表[[#This Row],[代码]],_xlpm.i,1),_xlfn.LAMBDA(_xlpm.a,IF(CODE(_xlpm.a)&gt;64,CODE(_xlpm.a)-55,CODE(_xlpm.a)-48))))))</f>
        <v>41334</v>
      </c>
      <c r="G230" s="10" t="str">
        <f t="array" ref="G230">IFERROR(INDEX(角色MOD表[],MATCH(1,(角色MOD表[名称]=A230)*(角色MOD表[品质]=E230)*IF(D230="",1,(角色MOD表[属性]="")+ISNUMBER(FIND(D230,角色MOD表[属性]))),0),2),INDEX(武器MOD表[],MATCH(1,(武器MOD表[名称]=A230)*(武器MOD表[品质]=E230)*((武器MOD表[类型]=C230)+(武器MOD表[限定]=C230)),0),2))</f>
        <v>狮鹫</v>
      </c>
    </row>
    <row r="231" spans="1:7">
      <c r="A231" t="s">
        <v>996</v>
      </c>
      <c r="B231" s="50" t="s">
        <v>997</v>
      </c>
      <c r="C231" t="s">
        <v>16</v>
      </c>
      <c r="D231" t="s">
        <v>43</v>
      </c>
      <c r="E231" t="s">
        <v>959</v>
      </c>
      <c r="F231">
        <f t="array" ref="F231">SUM(_xlfn.MAP(_xlfn.SEQUENCE(4),_xlfn.LAMBDA(_xlpm.i,POWER(36,4-_xlpm.i)*_xlfn.MAP(MID(代码表[[#This Row],[代码]],_xlpm.i,1),_xlfn.LAMBDA(_xlpm.a,IF(CODE(_xlpm.a)&gt;64,CODE(_xlpm.a)-55,CODE(_xlpm.a)-48))))))</f>
        <v>41335</v>
      </c>
      <c r="G231" s="10" t="str">
        <f t="array" ref="G231">IFERROR(INDEX(角色MOD表[],MATCH(1,(角色MOD表[名称]=A231)*(角色MOD表[品质]=E231)*IF(D231="",1,(角色MOD表[属性]="")+ISNUMBER(FIND(D231,角色MOD表[属性]))),0),2),INDEX(武器MOD表[],MATCH(1,(武器MOD表[名称]=A231)*(武器MOD表[品质]=E231)*((武器MOD表[类型]=C231)+(武器MOD表[限定]=C231)),0),2))</f>
        <v>狮鹫</v>
      </c>
    </row>
    <row r="232" spans="1:7">
      <c r="A232" t="s">
        <v>998</v>
      </c>
      <c r="B232" s="50" t="s">
        <v>999</v>
      </c>
      <c r="C232" t="s">
        <v>16</v>
      </c>
      <c r="D232" t="s">
        <v>72</v>
      </c>
      <c r="E232" t="s">
        <v>959</v>
      </c>
      <c r="F232">
        <f t="array" ref="F232">SUM(_xlfn.MAP(_xlfn.SEQUENCE(4),_xlfn.LAMBDA(_xlpm.i,POWER(36,4-_xlpm.i)*_xlfn.MAP(MID(代码表[[#This Row],[代码]],_xlpm.i,1),_xlfn.LAMBDA(_xlpm.a,IF(CODE(_xlpm.a)&gt;64,CODE(_xlpm.a)-55,CODE(_xlpm.a)-48))))))</f>
        <v>41336</v>
      </c>
      <c r="G232" s="10" t="str">
        <f t="array" ref="G232">IFERROR(INDEX(角色MOD表[],MATCH(1,(角色MOD表[名称]=A232)*(角色MOD表[品质]=E232)*IF(D232="",1,(角色MOD表[属性]="")+ISNUMBER(FIND(D232,角色MOD表[属性]))),0),2),INDEX(武器MOD表[],MATCH(1,(武器MOD表[名称]=A232)*(武器MOD表[品质]=E232)*((武器MOD表[类型]=C232)+(武器MOD表[限定]=C232)),0),2))</f>
        <v>狮鹫</v>
      </c>
    </row>
    <row r="233" spans="1:7">
      <c r="A233" t="s">
        <v>1000</v>
      </c>
      <c r="B233" s="51" t="s">
        <v>1001</v>
      </c>
      <c r="C233" t="s">
        <v>16</v>
      </c>
      <c r="D233" t="s">
        <v>79</v>
      </c>
      <c r="E233" t="s">
        <v>959</v>
      </c>
      <c r="F233">
        <f>SUM(_xlfn.MAP(_xlfn.SEQUENCE(4),_xlfn.LAMBDA(_xlpm.i,POWER(36,4-_xlpm.i)*_xlfn.MAP(MID(代码表[[#This Row],[代码]],_xlpm.i,1),_xlfn.LAMBDA(_xlpm.a,IF(CODE(_xlpm.a)&gt;64,CODE(_xlpm.a)-55,CODE(_xlpm.a)-48))))))</f>
        <v>41411</v>
      </c>
      <c r="G233" s="10" t="str">
        <f t="array" ref="G233">IFERROR(INDEX(角色MOD表[],MATCH(1,(角色MOD表[名称]=A233)*(角色MOD表[品质]=E233)*IF(D233="",1,(角色MOD表[属性]="")+ISNUMBER(FIND(D233,角色MOD表[属性]))),0),2),INDEX(武器MOD表[],MATCH(1,(武器MOD表[名称]=A233)*(武器MOD表[品质]=E233)*((武器MOD表[类型]=C233)+(武器MOD表[限定]=C233)),0),2))</f>
        <v>百首</v>
      </c>
    </row>
    <row r="234" spans="1:7">
      <c r="A234" t="s">
        <v>77</v>
      </c>
      <c r="B234" s="50" t="s">
        <v>1002</v>
      </c>
      <c r="C234" t="s">
        <v>16</v>
      </c>
      <c r="D234" t="s">
        <v>79</v>
      </c>
      <c r="E234" t="s">
        <v>959</v>
      </c>
      <c r="F234">
        <f t="array" ref="F234">SUM(_xlfn.MAP(_xlfn.SEQUENCE(4),_xlfn.LAMBDA(_xlpm.i,POWER(36,4-_xlpm.i)*_xlfn.MAP(MID(代码表[[#This Row],[代码]],_xlpm.i,1),_xlfn.LAMBDA(_xlpm.a,IF(CODE(_xlpm.a)&gt;64,CODE(_xlpm.a)-55,CODE(_xlpm.a)-48))))))</f>
        <v>41412</v>
      </c>
      <c r="G234" s="10" t="str">
        <f t="array" ref="G234">IFERROR(INDEX(角色MOD表[],MATCH(1,(角色MOD表[名称]=A234)*(角色MOD表[品质]=E234)*IF(D234="",1,(角色MOD表[属性]="")+ISNUMBER(FIND(D234,角色MOD表[属性]))),0),2),INDEX(武器MOD表[],MATCH(1,(武器MOD表[名称]=A234)*(武器MOD表[品质]=E234)*((武器MOD表[类型]=C234)+(武器MOD表[限定]=C234)),0),2))</f>
        <v>百首</v>
      </c>
    </row>
    <row r="235" spans="1:7">
      <c r="A235" t="s">
        <v>1003</v>
      </c>
      <c r="B235" s="50" t="s">
        <v>1004</v>
      </c>
      <c r="C235" t="s">
        <v>16</v>
      </c>
      <c r="D235" t="s">
        <v>79</v>
      </c>
      <c r="E235" t="s">
        <v>959</v>
      </c>
      <c r="F235">
        <f t="array" ref="F235">SUM(_xlfn.MAP(_xlfn.SEQUENCE(4),_xlfn.LAMBDA(_xlpm.i,POWER(36,4-_xlpm.i)*_xlfn.MAP(MID(代码表[[#This Row],[代码]],_xlpm.i,1),_xlfn.LAMBDA(_xlpm.a,IF(CODE(_xlpm.a)&gt;64,CODE(_xlpm.a)-55,CODE(_xlpm.a)-48))))))</f>
        <v>41413</v>
      </c>
      <c r="G235" s="10" t="str">
        <f t="array" ref="G235">IFERROR(INDEX(角色MOD表[],MATCH(1,(角色MOD表[名称]=A235)*(角色MOD表[品质]=E235)*IF(D235="",1,(角色MOD表[属性]="")+ISNUMBER(FIND(D235,角色MOD表[属性]))),0),2),INDEX(武器MOD表[],MATCH(1,(武器MOD表[名称]=A235)*(武器MOD表[品质]=E235)*((武器MOD表[类型]=C235)+(武器MOD表[限定]=C235)),0),2))</f>
        <v>百首</v>
      </c>
    </row>
    <row r="236" spans="1:7">
      <c r="A236" t="s">
        <v>117</v>
      </c>
      <c r="B236" s="50" t="s">
        <v>1005</v>
      </c>
      <c r="C236" t="s">
        <v>16</v>
      </c>
      <c r="D236" t="s">
        <v>79</v>
      </c>
      <c r="E236" t="s">
        <v>959</v>
      </c>
      <c r="F236">
        <f t="array" ref="F236">SUM(_xlfn.MAP(_xlfn.SEQUENCE(4),_xlfn.LAMBDA(_xlpm.i,POWER(36,4-_xlpm.i)*_xlfn.MAP(MID(代码表[[#This Row],[代码]],_xlpm.i,1),_xlfn.LAMBDA(_xlpm.a,IF(CODE(_xlpm.a)&gt;64,CODE(_xlpm.a)-55,CODE(_xlpm.a)-48))))))</f>
        <v>41414</v>
      </c>
      <c r="G236" s="10" t="str">
        <f t="array" ref="G236">IFERROR(INDEX(角色MOD表[],MATCH(1,(角色MOD表[名称]=A236)*(角色MOD表[品质]=E236)*IF(D236="",1,(角色MOD表[属性]="")+ISNUMBER(FIND(D236,角色MOD表[属性]))),0),2),INDEX(武器MOD表[],MATCH(1,(武器MOD表[名称]=A236)*(武器MOD表[品质]=E236)*((武器MOD表[类型]=C236)+(武器MOD表[限定]=C236)),0),2))</f>
        <v>百首</v>
      </c>
    </row>
    <row r="237" spans="1:7">
      <c r="A237" t="s">
        <v>95</v>
      </c>
      <c r="B237" s="50" t="s">
        <v>1006</v>
      </c>
      <c r="C237" t="s">
        <v>16</v>
      </c>
      <c r="D237" t="s">
        <v>79</v>
      </c>
      <c r="E237" t="s">
        <v>959</v>
      </c>
      <c r="F237">
        <f t="array" ref="F237">SUM(_xlfn.MAP(_xlfn.SEQUENCE(4),_xlfn.LAMBDA(_xlpm.i,POWER(36,4-_xlpm.i)*_xlfn.MAP(MID(代码表[[#This Row],[代码]],_xlpm.i,1),_xlfn.LAMBDA(_xlpm.a,IF(CODE(_xlpm.a)&gt;64,CODE(_xlpm.a)-55,CODE(_xlpm.a)-48))))))</f>
        <v>41415</v>
      </c>
      <c r="G237" s="10" t="str">
        <f t="array" ref="G237">IFERROR(INDEX(角色MOD表[],MATCH(1,(角色MOD表[名称]=A237)*(角色MOD表[品质]=E237)*IF(D237="",1,(角色MOD表[属性]="")+ISNUMBER(FIND(D237,角色MOD表[属性]))),0),2),INDEX(武器MOD表[],MATCH(1,(武器MOD表[名称]=A237)*(武器MOD表[品质]=E237)*((武器MOD表[类型]=C237)+(武器MOD表[限定]=C237)),0),2))</f>
        <v>百首</v>
      </c>
    </row>
    <row r="238" spans="1:7">
      <c r="A238" t="s">
        <v>1000</v>
      </c>
      <c r="B238" s="50" t="s">
        <v>1007</v>
      </c>
      <c r="C238" t="s">
        <v>16</v>
      </c>
      <c r="D238" t="s">
        <v>23</v>
      </c>
      <c r="E238" t="s">
        <v>959</v>
      </c>
      <c r="F238">
        <f t="array" ref="F238">SUM(_xlfn.MAP(_xlfn.SEQUENCE(4),_xlfn.LAMBDA(_xlpm.i,POWER(36,4-_xlpm.i)*_xlfn.MAP(MID(代码表[[#This Row],[代码]],_xlpm.i,1),_xlfn.LAMBDA(_xlpm.a,IF(CODE(_xlpm.a)&gt;64,CODE(_xlpm.a)-55,CODE(_xlpm.a)-48))))))</f>
        <v>41421</v>
      </c>
      <c r="G238" s="10" t="str">
        <f t="array" ref="G238">IFERROR(INDEX(角色MOD表[],MATCH(1,(角色MOD表[名称]=A238)*(角色MOD表[品质]=E238)*IF(D238="",1,(角色MOD表[属性]="")+ISNUMBER(FIND(D238,角色MOD表[属性]))),0),2),INDEX(武器MOD表[],MATCH(1,(武器MOD表[名称]=A238)*(武器MOD表[品质]=E238)*((武器MOD表[类型]=C238)+(武器MOD表[限定]=C238)),0),2))</f>
        <v>百首</v>
      </c>
    </row>
    <row r="239" spans="1:7">
      <c r="A239" t="s">
        <v>77</v>
      </c>
      <c r="B239" s="50" t="s">
        <v>1008</v>
      </c>
      <c r="C239" t="s">
        <v>16</v>
      </c>
      <c r="D239" t="s">
        <v>23</v>
      </c>
      <c r="E239" t="s">
        <v>959</v>
      </c>
      <c r="F239">
        <f t="array" ref="F239">SUM(_xlfn.MAP(_xlfn.SEQUENCE(4),_xlfn.LAMBDA(_xlpm.i,POWER(36,4-_xlpm.i)*_xlfn.MAP(MID(代码表[[#This Row],[代码]],_xlpm.i,1),_xlfn.LAMBDA(_xlpm.a,IF(CODE(_xlpm.a)&gt;64,CODE(_xlpm.a)-55,CODE(_xlpm.a)-48))))))</f>
        <v>41422</v>
      </c>
      <c r="G239" s="10" t="str">
        <f t="array" ref="G239">IFERROR(INDEX(角色MOD表[],MATCH(1,(角色MOD表[名称]=A239)*(角色MOD表[品质]=E239)*IF(D239="",1,(角色MOD表[属性]="")+ISNUMBER(FIND(D239,角色MOD表[属性]))),0),2),INDEX(武器MOD表[],MATCH(1,(武器MOD表[名称]=A239)*(武器MOD表[品质]=E239)*((武器MOD表[类型]=C239)+(武器MOD表[限定]=C239)),0),2))</f>
        <v>百首</v>
      </c>
    </row>
    <row r="240" spans="1:7">
      <c r="A240" t="s">
        <v>1003</v>
      </c>
      <c r="B240" s="50" t="s">
        <v>1009</v>
      </c>
      <c r="C240" t="s">
        <v>16</v>
      </c>
      <c r="D240" t="s">
        <v>23</v>
      </c>
      <c r="E240" t="s">
        <v>959</v>
      </c>
      <c r="F240">
        <f t="array" ref="F240">SUM(_xlfn.MAP(_xlfn.SEQUENCE(4),_xlfn.LAMBDA(_xlpm.i,POWER(36,4-_xlpm.i)*_xlfn.MAP(MID(代码表[[#This Row],[代码]],_xlpm.i,1),_xlfn.LAMBDA(_xlpm.a,IF(CODE(_xlpm.a)&gt;64,CODE(_xlpm.a)-55,CODE(_xlpm.a)-48))))))</f>
        <v>41423</v>
      </c>
      <c r="G240" s="10" t="str">
        <f t="array" ref="G240">IFERROR(INDEX(角色MOD表[],MATCH(1,(角色MOD表[名称]=A240)*(角色MOD表[品质]=E240)*IF(D240="",1,(角色MOD表[属性]="")+ISNUMBER(FIND(D240,角色MOD表[属性]))),0),2),INDEX(武器MOD表[],MATCH(1,(武器MOD表[名称]=A240)*(武器MOD表[品质]=E240)*((武器MOD表[类型]=C240)+(武器MOD表[限定]=C240)),0),2))</f>
        <v>百首</v>
      </c>
    </row>
    <row r="241" spans="1:7">
      <c r="A241" t="s">
        <v>117</v>
      </c>
      <c r="B241" s="50" t="s">
        <v>1010</v>
      </c>
      <c r="C241" t="s">
        <v>16</v>
      </c>
      <c r="D241" t="s">
        <v>23</v>
      </c>
      <c r="E241" t="s">
        <v>959</v>
      </c>
      <c r="F241">
        <f t="array" ref="F241">SUM(_xlfn.MAP(_xlfn.SEQUENCE(4),_xlfn.LAMBDA(_xlpm.i,POWER(36,4-_xlpm.i)*_xlfn.MAP(MID(代码表[[#This Row],[代码]],_xlpm.i,1),_xlfn.LAMBDA(_xlpm.a,IF(CODE(_xlpm.a)&gt;64,CODE(_xlpm.a)-55,CODE(_xlpm.a)-48))))))</f>
        <v>41424</v>
      </c>
      <c r="G241" s="10" t="str">
        <f t="array" ref="G241">IFERROR(INDEX(角色MOD表[],MATCH(1,(角色MOD表[名称]=A241)*(角色MOD表[品质]=E241)*IF(D241="",1,(角色MOD表[属性]="")+ISNUMBER(FIND(D241,角色MOD表[属性]))),0),2),INDEX(武器MOD表[],MATCH(1,(武器MOD表[名称]=A241)*(武器MOD表[品质]=E241)*((武器MOD表[类型]=C241)+(武器MOD表[限定]=C241)),0),2))</f>
        <v>百首</v>
      </c>
    </row>
    <row r="242" spans="1:7">
      <c r="A242" t="s">
        <v>95</v>
      </c>
      <c r="B242" s="50" t="s">
        <v>1011</v>
      </c>
      <c r="C242" t="s">
        <v>16</v>
      </c>
      <c r="D242" t="s">
        <v>23</v>
      </c>
      <c r="E242" t="s">
        <v>959</v>
      </c>
      <c r="F242">
        <f t="array" ref="F242">SUM(_xlfn.MAP(_xlfn.SEQUENCE(4),_xlfn.LAMBDA(_xlpm.i,POWER(36,4-_xlpm.i)*_xlfn.MAP(MID(代码表[[#This Row],[代码]],_xlpm.i,1),_xlfn.LAMBDA(_xlpm.a,IF(CODE(_xlpm.a)&gt;64,CODE(_xlpm.a)-55,CODE(_xlpm.a)-48))))))</f>
        <v>41425</v>
      </c>
      <c r="G242" s="10" t="str">
        <f t="array" ref="G242">IFERROR(INDEX(角色MOD表[],MATCH(1,(角色MOD表[名称]=A242)*(角色MOD表[品质]=E242)*IF(D242="",1,(角色MOD表[属性]="")+ISNUMBER(FIND(D242,角色MOD表[属性]))),0),2),INDEX(武器MOD表[],MATCH(1,(武器MOD表[名称]=A242)*(武器MOD表[品质]=E242)*((武器MOD表[类型]=C242)+(武器MOD表[限定]=C242)),0),2))</f>
        <v>百首</v>
      </c>
    </row>
    <row r="243" spans="1:7">
      <c r="A243" t="s">
        <v>1000</v>
      </c>
      <c r="B243" s="50" t="s">
        <v>1012</v>
      </c>
      <c r="C243" t="s">
        <v>16</v>
      </c>
      <c r="D243" t="s">
        <v>37</v>
      </c>
      <c r="E243" t="s">
        <v>959</v>
      </c>
      <c r="F243">
        <f t="array" ref="F243">SUM(_xlfn.MAP(_xlfn.SEQUENCE(4),_xlfn.LAMBDA(_xlpm.i,POWER(36,4-_xlpm.i)*_xlfn.MAP(MID(代码表[[#This Row],[代码]],_xlpm.i,1),_xlfn.LAMBDA(_xlpm.a,IF(CODE(_xlpm.a)&gt;64,CODE(_xlpm.a)-55,CODE(_xlpm.a)-48))))))</f>
        <v>41431</v>
      </c>
      <c r="G243" s="10" t="str">
        <f t="array" ref="G243">IFERROR(INDEX(角色MOD表[],MATCH(1,(角色MOD表[名称]=A243)*(角色MOD表[品质]=E243)*IF(D243="",1,(角色MOD表[属性]="")+ISNUMBER(FIND(D243,角色MOD表[属性]))),0),2),INDEX(武器MOD表[],MATCH(1,(武器MOD表[名称]=A243)*(武器MOD表[品质]=E243)*((武器MOD表[类型]=C243)+(武器MOD表[限定]=C243)),0),2))</f>
        <v>百首</v>
      </c>
    </row>
    <row r="244" spans="1:7">
      <c r="A244" t="s">
        <v>77</v>
      </c>
      <c r="B244" s="50" t="s">
        <v>1013</v>
      </c>
      <c r="C244" t="s">
        <v>16</v>
      </c>
      <c r="D244" t="s">
        <v>37</v>
      </c>
      <c r="E244" t="s">
        <v>959</v>
      </c>
      <c r="F244">
        <f t="array" ref="F244">SUM(_xlfn.MAP(_xlfn.SEQUENCE(4),_xlfn.LAMBDA(_xlpm.i,POWER(36,4-_xlpm.i)*_xlfn.MAP(MID(代码表[[#This Row],[代码]],_xlpm.i,1),_xlfn.LAMBDA(_xlpm.a,IF(CODE(_xlpm.a)&gt;64,CODE(_xlpm.a)-55,CODE(_xlpm.a)-48))))))</f>
        <v>41432</v>
      </c>
      <c r="G244" s="10" t="str">
        <f t="array" ref="G244">IFERROR(INDEX(角色MOD表[],MATCH(1,(角色MOD表[名称]=A244)*(角色MOD表[品质]=E244)*IF(D244="",1,(角色MOD表[属性]="")+ISNUMBER(FIND(D244,角色MOD表[属性]))),0),2),INDEX(武器MOD表[],MATCH(1,(武器MOD表[名称]=A244)*(武器MOD表[品质]=E244)*((武器MOD表[类型]=C244)+(武器MOD表[限定]=C244)),0),2))</f>
        <v>百首</v>
      </c>
    </row>
    <row r="245" spans="1:7">
      <c r="A245" t="s">
        <v>1003</v>
      </c>
      <c r="B245" s="50" t="s">
        <v>1014</v>
      </c>
      <c r="C245" t="s">
        <v>16</v>
      </c>
      <c r="D245" t="s">
        <v>37</v>
      </c>
      <c r="E245" t="s">
        <v>959</v>
      </c>
      <c r="F245">
        <f t="array" ref="F245">SUM(_xlfn.MAP(_xlfn.SEQUENCE(4),_xlfn.LAMBDA(_xlpm.i,POWER(36,4-_xlpm.i)*_xlfn.MAP(MID(代码表[[#This Row],[代码]],_xlpm.i,1),_xlfn.LAMBDA(_xlpm.a,IF(CODE(_xlpm.a)&gt;64,CODE(_xlpm.a)-55,CODE(_xlpm.a)-48))))))</f>
        <v>41433</v>
      </c>
      <c r="G245" s="10" t="str">
        <f t="array" ref="G245">IFERROR(INDEX(角色MOD表[],MATCH(1,(角色MOD表[名称]=A245)*(角色MOD表[品质]=E245)*IF(D245="",1,(角色MOD表[属性]="")+ISNUMBER(FIND(D245,角色MOD表[属性]))),0),2),INDEX(武器MOD表[],MATCH(1,(武器MOD表[名称]=A245)*(武器MOD表[品质]=E245)*((武器MOD表[类型]=C245)+(武器MOD表[限定]=C245)),0),2))</f>
        <v>百首</v>
      </c>
    </row>
    <row r="246" spans="1:7">
      <c r="A246" t="s">
        <v>117</v>
      </c>
      <c r="B246" s="50" t="s">
        <v>1015</v>
      </c>
      <c r="C246" t="s">
        <v>16</v>
      </c>
      <c r="D246" t="s">
        <v>37</v>
      </c>
      <c r="E246" t="s">
        <v>959</v>
      </c>
      <c r="F246">
        <f t="array" ref="F246">SUM(_xlfn.MAP(_xlfn.SEQUENCE(4),_xlfn.LAMBDA(_xlpm.i,POWER(36,4-_xlpm.i)*_xlfn.MAP(MID(代码表[[#This Row],[代码]],_xlpm.i,1),_xlfn.LAMBDA(_xlpm.a,IF(CODE(_xlpm.a)&gt;64,CODE(_xlpm.a)-55,CODE(_xlpm.a)-48))))))</f>
        <v>41434</v>
      </c>
      <c r="G246" s="10" t="str">
        <f t="array" ref="G246">IFERROR(INDEX(角色MOD表[],MATCH(1,(角色MOD表[名称]=A246)*(角色MOD表[品质]=E246)*IF(D246="",1,(角色MOD表[属性]="")+ISNUMBER(FIND(D246,角色MOD表[属性]))),0),2),INDEX(武器MOD表[],MATCH(1,(武器MOD表[名称]=A246)*(武器MOD表[品质]=E246)*((武器MOD表[类型]=C246)+(武器MOD表[限定]=C246)),0),2))</f>
        <v>百首</v>
      </c>
    </row>
    <row r="247" spans="1:7">
      <c r="A247" t="s">
        <v>95</v>
      </c>
      <c r="B247" s="50" t="s">
        <v>1016</v>
      </c>
      <c r="C247" t="s">
        <v>16</v>
      </c>
      <c r="D247" t="s">
        <v>37</v>
      </c>
      <c r="E247" t="s">
        <v>959</v>
      </c>
      <c r="F247">
        <f t="array" ref="F247">SUM(_xlfn.MAP(_xlfn.SEQUENCE(4),_xlfn.LAMBDA(_xlpm.i,POWER(36,4-_xlpm.i)*_xlfn.MAP(MID(代码表[[#This Row],[代码]],_xlpm.i,1),_xlfn.LAMBDA(_xlpm.a,IF(CODE(_xlpm.a)&gt;64,CODE(_xlpm.a)-55,CODE(_xlpm.a)-48))))))</f>
        <v>41435</v>
      </c>
      <c r="G247" s="10" t="str">
        <f t="array" ref="G247">IFERROR(INDEX(角色MOD表[],MATCH(1,(角色MOD表[名称]=A247)*(角色MOD表[品质]=E247)*IF(D247="",1,(角色MOD表[属性]="")+ISNUMBER(FIND(D247,角色MOD表[属性]))),0),2),INDEX(武器MOD表[],MATCH(1,(武器MOD表[名称]=A247)*(武器MOD表[品质]=E247)*((武器MOD表[类型]=C247)+(武器MOD表[限定]=C247)),0),2))</f>
        <v>百首</v>
      </c>
    </row>
    <row r="248" spans="1:7">
      <c r="A248" t="s">
        <v>1000</v>
      </c>
      <c r="B248" s="50" t="s">
        <v>1017</v>
      </c>
      <c r="C248" t="s">
        <v>16</v>
      </c>
      <c r="D248" t="s">
        <v>10</v>
      </c>
      <c r="E248" t="s">
        <v>959</v>
      </c>
      <c r="F248">
        <f t="array" ref="F248">SUM(_xlfn.MAP(_xlfn.SEQUENCE(4),_xlfn.LAMBDA(_xlpm.i,POWER(36,4-_xlpm.i)*_xlfn.MAP(MID(代码表[[#This Row],[代码]],_xlpm.i,1),_xlfn.LAMBDA(_xlpm.a,IF(CODE(_xlpm.a)&gt;64,CODE(_xlpm.a)-55,CODE(_xlpm.a)-48))))))</f>
        <v>41441</v>
      </c>
      <c r="G248" s="10" t="str">
        <f t="array" ref="G248">IFERROR(INDEX(角色MOD表[],MATCH(1,(角色MOD表[名称]=A248)*(角色MOD表[品质]=E248)*IF(D248="",1,(角色MOD表[属性]="")+ISNUMBER(FIND(D248,角色MOD表[属性]))),0),2),INDEX(武器MOD表[],MATCH(1,(武器MOD表[名称]=A248)*(武器MOD表[品质]=E248)*((武器MOD表[类型]=C248)+(武器MOD表[限定]=C248)),0),2))</f>
        <v>百首</v>
      </c>
    </row>
    <row r="249" spans="1:7">
      <c r="A249" t="s">
        <v>77</v>
      </c>
      <c r="B249" s="50" t="s">
        <v>1018</v>
      </c>
      <c r="C249" t="s">
        <v>16</v>
      </c>
      <c r="D249" t="s">
        <v>10</v>
      </c>
      <c r="E249" t="s">
        <v>959</v>
      </c>
      <c r="F249">
        <f t="array" ref="F249">SUM(_xlfn.MAP(_xlfn.SEQUENCE(4),_xlfn.LAMBDA(_xlpm.i,POWER(36,4-_xlpm.i)*_xlfn.MAP(MID(代码表[[#This Row],[代码]],_xlpm.i,1),_xlfn.LAMBDA(_xlpm.a,IF(CODE(_xlpm.a)&gt;64,CODE(_xlpm.a)-55,CODE(_xlpm.a)-48))))))</f>
        <v>41442</v>
      </c>
      <c r="G249" s="10" t="str">
        <f t="array" ref="G249">IFERROR(INDEX(角色MOD表[],MATCH(1,(角色MOD表[名称]=A249)*(角色MOD表[品质]=E249)*IF(D249="",1,(角色MOD表[属性]="")+ISNUMBER(FIND(D249,角色MOD表[属性]))),0),2),INDEX(武器MOD表[],MATCH(1,(武器MOD表[名称]=A249)*(武器MOD表[品质]=E249)*((武器MOD表[类型]=C249)+(武器MOD表[限定]=C249)),0),2))</f>
        <v>百首</v>
      </c>
    </row>
    <row r="250" spans="1:7">
      <c r="A250" t="s">
        <v>1003</v>
      </c>
      <c r="B250" s="50" t="s">
        <v>1019</v>
      </c>
      <c r="C250" t="s">
        <v>16</v>
      </c>
      <c r="D250" t="s">
        <v>10</v>
      </c>
      <c r="E250" t="s">
        <v>959</v>
      </c>
      <c r="F250">
        <f t="array" ref="F250">SUM(_xlfn.MAP(_xlfn.SEQUENCE(4),_xlfn.LAMBDA(_xlpm.i,POWER(36,4-_xlpm.i)*_xlfn.MAP(MID(代码表[[#This Row],[代码]],_xlpm.i,1),_xlfn.LAMBDA(_xlpm.a,IF(CODE(_xlpm.a)&gt;64,CODE(_xlpm.a)-55,CODE(_xlpm.a)-48))))))</f>
        <v>41443</v>
      </c>
      <c r="G250" s="10" t="str">
        <f t="array" ref="G250">IFERROR(INDEX(角色MOD表[],MATCH(1,(角色MOD表[名称]=A250)*(角色MOD表[品质]=E250)*IF(D250="",1,(角色MOD表[属性]="")+ISNUMBER(FIND(D250,角色MOD表[属性]))),0),2),INDEX(武器MOD表[],MATCH(1,(武器MOD表[名称]=A250)*(武器MOD表[品质]=E250)*((武器MOD表[类型]=C250)+(武器MOD表[限定]=C250)),0),2))</f>
        <v>百首</v>
      </c>
    </row>
    <row r="251" spans="1:7">
      <c r="A251" t="s">
        <v>117</v>
      </c>
      <c r="B251" s="50" t="s">
        <v>1020</v>
      </c>
      <c r="C251" t="s">
        <v>16</v>
      </c>
      <c r="D251" t="s">
        <v>10</v>
      </c>
      <c r="E251" t="s">
        <v>959</v>
      </c>
      <c r="F251">
        <f t="array" ref="F251">SUM(_xlfn.MAP(_xlfn.SEQUENCE(4),_xlfn.LAMBDA(_xlpm.i,POWER(36,4-_xlpm.i)*_xlfn.MAP(MID(代码表[[#This Row],[代码]],_xlpm.i,1),_xlfn.LAMBDA(_xlpm.a,IF(CODE(_xlpm.a)&gt;64,CODE(_xlpm.a)-55,CODE(_xlpm.a)-48))))))</f>
        <v>41444</v>
      </c>
      <c r="G251" s="10" t="str">
        <f t="array" ref="G251">IFERROR(INDEX(角色MOD表[],MATCH(1,(角色MOD表[名称]=A251)*(角色MOD表[品质]=E251)*IF(D251="",1,(角色MOD表[属性]="")+ISNUMBER(FIND(D251,角色MOD表[属性]))),0),2),INDEX(武器MOD表[],MATCH(1,(武器MOD表[名称]=A251)*(武器MOD表[品质]=E251)*((武器MOD表[类型]=C251)+(武器MOD表[限定]=C251)),0),2))</f>
        <v>百首</v>
      </c>
    </row>
    <row r="252" spans="1:7">
      <c r="A252" t="s">
        <v>95</v>
      </c>
      <c r="B252" s="50" t="s">
        <v>1021</v>
      </c>
      <c r="C252" t="s">
        <v>16</v>
      </c>
      <c r="D252" t="s">
        <v>10</v>
      </c>
      <c r="E252" t="s">
        <v>959</v>
      </c>
      <c r="F252">
        <f t="array" ref="F252">SUM(_xlfn.MAP(_xlfn.SEQUENCE(4),_xlfn.LAMBDA(_xlpm.i,POWER(36,4-_xlpm.i)*_xlfn.MAP(MID(代码表[[#This Row],[代码]],_xlpm.i,1),_xlfn.LAMBDA(_xlpm.a,IF(CODE(_xlpm.a)&gt;64,CODE(_xlpm.a)-55,CODE(_xlpm.a)-48))))))</f>
        <v>41445</v>
      </c>
      <c r="G252" s="10" t="str">
        <f t="array" ref="G252">IFERROR(INDEX(角色MOD表[],MATCH(1,(角色MOD表[名称]=A252)*(角色MOD表[品质]=E252)*IF(D252="",1,(角色MOD表[属性]="")+ISNUMBER(FIND(D252,角色MOD表[属性]))),0),2),INDEX(武器MOD表[],MATCH(1,(武器MOD表[名称]=A252)*(武器MOD表[品质]=E252)*((武器MOD表[类型]=C252)+(武器MOD表[限定]=C252)),0),2))</f>
        <v>百首</v>
      </c>
    </row>
    <row r="253" spans="1:7">
      <c r="A253" t="s">
        <v>1000</v>
      </c>
      <c r="B253" s="50" t="s">
        <v>1022</v>
      </c>
      <c r="C253" t="s">
        <v>16</v>
      </c>
      <c r="D253" t="s">
        <v>43</v>
      </c>
      <c r="E253" t="s">
        <v>959</v>
      </c>
      <c r="F253">
        <f t="array" ref="F253">SUM(_xlfn.MAP(_xlfn.SEQUENCE(4),_xlfn.LAMBDA(_xlpm.i,POWER(36,4-_xlpm.i)*_xlfn.MAP(MID(代码表[[#This Row],[代码]],_xlpm.i,1),_xlfn.LAMBDA(_xlpm.a,IF(CODE(_xlpm.a)&gt;64,CODE(_xlpm.a)-55,CODE(_xlpm.a)-48))))))</f>
        <v>41451</v>
      </c>
      <c r="G253" s="10" t="str">
        <f t="array" ref="G253">IFERROR(INDEX(角色MOD表[],MATCH(1,(角色MOD表[名称]=A253)*(角色MOD表[品质]=E253)*IF(D253="",1,(角色MOD表[属性]="")+ISNUMBER(FIND(D253,角色MOD表[属性]))),0),2),INDEX(武器MOD表[],MATCH(1,(武器MOD表[名称]=A253)*(武器MOD表[品质]=E253)*((武器MOD表[类型]=C253)+(武器MOD表[限定]=C253)),0),2))</f>
        <v>百首</v>
      </c>
    </row>
    <row r="254" spans="1:7">
      <c r="A254" t="s">
        <v>77</v>
      </c>
      <c r="B254" s="50" t="s">
        <v>1023</v>
      </c>
      <c r="C254" t="s">
        <v>16</v>
      </c>
      <c r="D254" t="s">
        <v>43</v>
      </c>
      <c r="E254" t="s">
        <v>959</v>
      </c>
      <c r="F254">
        <f t="array" ref="F254">SUM(_xlfn.MAP(_xlfn.SEQUENCE(4),_xlfn.LAMBDA(_xlpm.i,POWER(36,4-_xlpm.i)*_xlfn.MAP(MID(代码表[[#This Row],[代码]],_xlpm.i,1),_xlfn.LAMBDA(_xlpm.a,IF(CODE(_xlpm.a)&gt;64,CODE(_xlpm.a)-55,CODE(_xlpm.a)-48))))))</f>
        <v>41452</v>
      </c>
      <c r="G254" s="10" t="str">
        <f t="array" ref="G254">IFERROR(INDEX(角色MOD表[],MATCH(1,(角色MOD表[名称]=A254)*(角色MOD表[品质]=E254)*IF(D254="",1,(角色MOD表[属性]="")+ISNUMBER(FIND(D254,角色MOD表[属性]))),0),2),INDEX(武器MOD表[],MATCH(1,(武器MOD表[名称]=A254)*(武器MOD表[品质]=E254)*((武器MOD表[类型]=C254)+(武器MOD表[限定]=C254)),0),2))</f>
        <v>百首</v>
      </c>
    </row>
    <row r="255" spans="1:7">
      <c r="A255" t="s">
        <v>1003</v>
      </c>
      <c r="B255" s="50" t="s">
        <v>1024</v>
      </c>
      <c r="C255" t="s">
        <v>16</v>
      </c>
      <c r="D255" t="s">
        <v>43</v>
      </c>
      <c r="E255" t="s">
        <v>959</v>
      </c>
      <c r="F255">
        <f t="array" ref="F255">SUM(_xlfn.MAP(_xlfn.SEQUENCE(4),_xlfn.LAMBDA(_xlpm.i,POWER(36,4-_xlpm.i)*_xlfn.MAP(MID(代码表[[#This Row],[代码]],_xlpm.i,1),_xlfn.LAMBDA(_xlpm.a,IF(CODE(_xlpm.a)&gt;64,CODE(_xlpm.a)-55,CODE(_xlpm.a)-48))))))</f>
        <v>41453</v>
      </c>
      <c r="G255" s="10" t="str">
        <f t="array" ref="G255">IFERROR(INDEX(角色MOD表[],MATCH(1,(角色MOD表[名称]=A255)*(角色MOD表[品质]=E255)*IF(D255="",1,(角色MOD表[属性]="")+ISNUMBER(FIND(D255,角色MOD表[属性]))),0),2),INDEX(武器MOD表[],MATCH(1,(武器MOD表[名称]=A255)*(武器MOD表[品质]=E255)*((武器MOD表[类型]=C255)+(武器MOD表[限定]=C255)),0),2))</f>
        <v>百首</v>
      </c>
    </row>
    <row r="256" spans="1:7">
      <c r="A256" t="s">
        <v>117</v>
      </c>
      <c r="B256" s="50" t="s">
        <v>1025</v>
      </c>
      <c r="C256" t="s">
        <v>16</v>
      </c>
      <c r="D256" t="s">
        <v>43</v>
      </c>
      <c r="E256" t="s">
        <v>959</v>
      </c>
      <c r="F256">
        <f t="array" ref="F256">SUM(_xlfn.MAP(_xlfn.SEQUENCE(4),_xlfn.LAMBDA(_xlpm.i,POWER(36,4-_xlpm.i)*_xlfn.MAP(MID(代码表[[#This Row],[代码]],_xlpm.i,1),_xlfn.LAMBDA(_xlpm.a,IF(CODE(_xlpm.a)&gt;64,CODE(_xlpm.a)-55,CODE(_xlpm.a)-48))))))</f>
        <v>41454</v>
      </c>
      <c r="G256" s="10" t="str">
        <f t="array" ref="G256">IFERROR(INDEX(角色MOD表[],MATCH(1,(角色MOD表[名称]=A256)*(角色MOD表[品质]=E256)*IF(D256="",1,(角色MOD表[属性]="")+ISNUMBER(FIND(D256,角色MOD表[属性]))),0),2),INDEX(武器MOD表[],MATCH(1,(武器MOD表[名称]=A256)*(武器MOD表[品质]=E256)*((武器MOD表[类型]=C256)+(武器MOD表[限定]=C256)),0),2))</f>
        <v>百首</v>
      </c>
    </row>
    <row r="257" spans="1:7">
      <c r="A257" t="s">
        <v>95</v>
      </c>
      <c r="B257" s="50" t="s">
        <v>1026</v>
      </c>
      <c r="C257" t="s">
        <v>16</v>
      </c>
      <c r="D257" t="s">
        <v>43</v>
      </c>
      <c r="E257" t="s">
        <v>959</v>
      </c>
      <c r="F257">
        <f t="array" ref="F257">SUM(_xlfn.MAP(_xlfn.SEQUENCE(4),_xlfn.LAMBDA(_xlpm.i,POWER(36,4-_xlpm.i)*_xlfn.MAP(MID(代码表[[#This Row],[代码]],_xlpm.i,1),_xlfn.LAMBDA(_xlpm.a,IF(CODE(_xlpm.a)&gt;64,CODE(_xlpm.a)-55,CODE(_xlpm.a)-48))))))</f>
        <v>41455</v>
      </c>
      <c r="G257" s="10" t="str">
        <f t="array" ref="G257">IFERROR(INDEX(角色MOD表[],MATCH(1,(角色MOD表[名称]=A257)*(角色MOD表[品质]=E257)*IF(D257="",1,(角色MOD表[属性]="")+ISNUMBER(FIND(D257,角色MOD表[属性]))),0),2),INDEX(武器MOD表[],MATCH(1,(武器MOD表[名称]=A257)*(武器MOD表[品质]=E257)*((武器MOD表[类型]=C257)+(武器MOD表[限定]=C257)),0),2))</f>
        <v>百首</v>
      </c>
    </row>
    <row r="258" spans="1:7">
      <c r="A258" t="s">
        <v>1000</v>
      </c>
      <c r="B258" s="50" t="s">
        <v>1027</v>
      </c>
      <c r="C258" t="s">
        <v>16</v>
      </c>
      <c r="D258" t="s">
        <v>72</v>
      </c>
      <c r="E258" t="s">
        <v>959</v>
      </c>
      <c r="F258">
        <f t="array" ref="F258">SUM(_xlfn.MAP(_xlfn.SEQUENCE(4),_xlfn.LAMBDA(_xlpm.i,POWER(36,4-_xlpm.i)*_xlfn.MAP(MID(代码表[[#This Row],[代码]],_xlpm.i,1),_xlfn.LAMBDA(_xlpm.a,IF(CODE(_xlpm.a)&gt;64,CODE(_xlpm.a)-55,CODE(_xlpm.a)-48))))))</f>
        <v>41461</v>
      </c>
      <c r="G258" s="10" t="str">
        <f t="array" ref="G258">IFERROR(INDEX(角色MOD表[],MATCH(1,(角色MOD表[名称]=A258)*(角色MOD表[品质]=E258)*IF(D258="",1,(角色MOD表[属性]="")+ISNUMBER(FIND(D258,角色MOD表[属性]))),0),2),INDEX(武器MOD表[],MATCH(1,(武器MOD表[名称]=A258)*(武器MOD表[品质]=E258)*((武器MOD表[类型]=C258)+(武器MOD表[限定]=C258)),0),2))</f>
        <v>百首</v>
      </c>
    </row>
    <row r="259" spans="1:7">
      <c r="A259" t="s">
        <v>77</v>
      </c>
      <c r="B259" s="50" t="s">
        <v>1028</v>
      </c>
      <c r="C259" t="s">
        <v>16</v>
      </c>
      <c r="D259" t="s">
        <v>72</v>
      </c>
      <c r="E259" t="s">
        <v>959</v>
      </c>
      <c r="F259">
        <f t="array" ref="F259">SUM(_xlfn.MAP(_xlfn.SEQUENCE(4),_xlfn.LAMBDA(_xlpm.i,POWER(36,4-_xlpm.i)*_xlfn.MAP(MID(代码表[[#This Row],[代码]],_xlpm.i,1),_xlfn.LAMBDA(_xlpm.a,IF(CODE(_xlpm.a)&gt;64,CODE(_xlpm.a)-55,CODE(_xlpm.a)-48))))))</f>
        <v>41462</v>
      </c>
      <c r="G259" s="10" t="str">
        <f t="array" ref="G259">IFERROR(INDEX(角色MOD表[],MATCH(1,(角色MOD表[名称]=A259)*(角色MOD表[品质]=E259)*IF(D259="",1,(角色MOD表[属性]="")+ISNUMBER(FIND(D259,角色MOD表[属性]))),0),2),INDEX(武器MOD表[],MATCH(1,(武器MOD表[名称]=A259)*(武器MOD表[品质]=E259)*((武器MOD表[类型]=C259)+(武器MOD表[限定]=C259)),0),2))</f>
        <v>百首</v>
      </c>
    </row>
    <row r="260" spans="1:7">
      <c r="A260" t="s">
        <v>1003</v>
      </c>
      <c r="B260" s="50" t="s">
        <v>1029</v>
      </c>
      <c r="C260" t="s">
        <v>16</v>
      </c>
      <c r="D260" t="s">
        <v>72</v>
      </c>
      <c r="E260" t="s">
        <v>959</v>
      </c>
      <c r="F260">
        <f t="array" ref="F260">SUM(_xlfn.MAP(_xlfn.SEQUENCE(4),_xlfn.LAMBDA(_xlpm.i,POWER(36,4-_xlpm.i)*_xlfn.MAP(MID(代码表[[#This Row],[代码]],_xlpm.i,1),_xlfn.LAMBDA(_xlpm.a,IF(CODE(_xlpm.a)&gt;64,CODE(_xlpm.a)-55,CODE(_xlpm.a)-48))))))</f>
        <v>41463</v>
      </c>
      <c r="G260" s="10" t="str">
        <f t="array" ref="G260">IFERROR(INDEX(角色MOD表[],MATCH(1,(角色MOD表[名称]=A260)*(角色MOD表[品质]=E260)*IF(D260="",1,(角色MOD表[属性]="")+ISNUMBER(FIND(D260,角色MOD表[属性]))),0),2),INDEX(武器MOD表[],MATCH(1,(武器MOD表[名称]=A260)*(武器MOD表[品质]=E260)*((武器MOD表[类型]=C260)+(武器MOD表[限定]=C260)),0),2))</f>
        <v>百首</v>
      </c>
    </row>
    <row r="261" spans="1:7">
      <c r="A261" t="s">
        <v>117</v>
      </c>
      <c r="B261" s="50" t="s">
        <v>1030</v>
      </c>
      <c r="C261" t="s">
        <v>16</v>
      </c>
      <c r="D261" t="s">
        <v>72</v>
      </c>
      <c r="E261" t="s">
        <v>959</v>
      </c>
      <c r="F261">
        <f t="array" ref="F261">SUM(_xlfn.MAP(_xlfn.SEQUENCE(4),_xlfn.LAMBDA(_xlpm.i,POWER(36,4-_xlpm.i)*_xlfn.MAP(MID(代码表[[#This Row],[代码]],_xlpm.i,1),_xlfn.LAMBDA(_xlpm.a,IF(CODE(_xlpm.a)&gt;64,CODE(_xlpm.a)-55,CODE(_xlpm.a)-48))))))</f>
        <v>41464</v>
      </c>
      <c r="G261" s="10" t="str">
        <f t="array" ref="G261">IFERROR(INDEX(角色MOD表[],MATCH(1,(角色MOD表[名称]=A261)*(角色MOD表[品质]=E261)*IF(D261="",1,(角色MOD表[属性]="")+ISNUMBER(FIND(D261,角色MOD表[属性]))),0),2),INDEX(武器MOD表[],MATCH(1,(武器MOD表[名称]=A261)*(武器MOD表[品质]=E261)*((武器MOD表[类型]=C261)+(武器MOD表[限定]=C261)),0),2))</f>
        <v>百首</v>
      </c>
    </row>
    <row r="262" spans="1:7">
      <c r="A262" t="s">
        <v>95</v>
      </c>
      <c r="B262" s="50" t="s">
        <v>1031</v>
      </c>
      <c r="C262" t="s">
        <v>16</v>
      </c>
      <c r="D262" t="s">
        <v>72</v>
      </c>
      <c r="E262" t="s">
        <v>959</v>
      </c>
      <c r="F262">
        <f t="array" ref="F262">SUM(_xlfn.MAP(_xlfn.SEQUENCE(4),_xlfn.LAMBDA(_xlpm.i,POWER(36,4-_xlpm.i)*_xlfn.MAP(MID(代码表[[#This Row],[代码]],_xlpm.i,1),_xlfn.LAMBDA(_xlpm.a,IF(CODE(_xlpm.a)&gt;64,CODE(_xlpm.a)-55,CODE(_xlpm.a)-48))))))</f>
        <v>41465</v>
      </c>
      <c r="G262" s="10" t="str">
        <f t="array" ref="G262">IFERROR(INDEX(角色MOD表[],MATCH(1,(角色MOD表[名称]=A262)*(角色MOD表[品质]=E262)*IF(D262="",1,(角色MOD表[属性]="")+ISNUMBER(FIND(D262,角色MOD表[属性]))),0),2),INDEX(武器MOD表[],MATCH(1,(武器MOD表[名称]=A262)*(武器MOD表[品质]=E262)*((武器MOD表[类型]=C262)+(武器MOD表[限定]=C262)),0),2))</f>
        <v>百首</v>
      </c>
    </row>
    <row r="263" spans="1:7">
      <c r="A263" t="s">
        <v>74</v>
      </c>
      <c r="B263" s="50" t="s">
        <v>1032</v>
      </c>
      <c r="C263" t="s">
        <v>16</v>
      </c>
      <c r="D263" t="s">
        <v>79</v>
      </c>
      <c r="E263" t="s">
        <v>959</v>
      </c>
      <c r="F263">
        <f t="array" ref="F263">SUM(_xlfn.MAP(_xlfn.SEQUENCE(4),_xlfn.LAMBDA(_xlpm.i,POWER(36,4-_xlpm.i)*_xlfn.MAP(MID(代码表[[#This Row],[代码]],_xlpm.i,1),_xlfn.LAMBDA(_xlpm.a,IF(CODE(_xlpm.a)&gt;64,CODE(_xlpm.a)-55,CODE(_xlpm.a)-48))))))</f>
        <v>41711</v>
      </c>
      <c r="G263" s="10" t="str">
        <f t="array" ref="G263">IFERROR(INDEX(角色MOD表[],MATCH(1,(角色MOD表[名称]=A263)*(角色MOD表[品质]=E263)*IF(D263="",1,(角色MOD表[属性]="")+ISNUMBER(FIND(D263,角色MOD表[属性]))),0),2),INDEX(武器MOD表[],MATCH(1,(武器MOD表[名称]=A263)*(武器MOD表[品质]=E263)*((武器MOD表[类型]=C263)+(武器MOD表[限定]=C263)),0),2))</f>
        <v>契约者</v>
      </c>
    </row>
    <row r="264" spans="1:7">
      <c r="A264" t="s">
        <v>81</v>
      </c>
      <c r="B264" s="50" t="s">
        <v>1033</v>
      </c>
      <c r="C264" t="s">
        <v>16</v>
      </c>
      <c r="D264" t="s">
        <v>79</v>
      </c>
      <c r="E264" t="s">
        <v>959</v>
      </c>
      <c r="F264">
        <f t="array" ref="F264">SUM(_xlfn.MAP(_xlfn.SEQUENCE(4),_xlfn.LAMBDA(_xlpm.i,POWER(36,4-_xlpm.i)*_xlfn.MAP(MID(代码表[[#This Row],[代码]],_xlpm.i,1),_xlfn.LAMBDA(_xlpm.a,IF(CODE(_xlpm.a)&gt;64,CODE(_xlpm.a)-55,CODE(_xlpm.a)-48))))))</f>
        <v>41712</v>
      </c>
      <c r="G264" s="10" t="str">
        <f t="array" ref="G264">IFERROR(INDEX(角色MOD表[],MATCH(1,(角色MOD表[名称]=A264)*(角色MOD表[品质]=E264)*IF(D264="",1,(角色MOD表[属性]="")+ISNUMBER(FIND(D264,角色MOD表[属性]))),0),2),INDEX(武器MOD表[],MATCH(1,(武器MOD表[名称]=A264)*(武器MOD表[品质]=E264)*((武器MOD表[类型]=C264)+(武器MOD表[限定]=C264)),0),2))</f>
        <v>契约者</v>
      </c>
    </row>
    <row r="265" spans="1:7">
      <c r="A265" t="s">
        <v>26</v>
      </c>
      <c r="B265" s="50" t="s">
        <v>1034</v>
      </c>
      <c r="C265" t="s">
        <v>16</v>
      </c>
      <c r="D265" t="s">
        <v>79</v>
      </c>
      <c r="E265" t="s">
        <v>959</v>
      </c>
      <c r="F265">
        <f t="array" ref="F265">SUM(_xlfn.MAP(_xlfn.SEQUENCE(4),_xlfn.LAMBDA(_xlpm.i,POWER(36,4-_xlpm.i)*_xlfn.MAP(MID(代码表[[#This Row],[代码]],_xlpm.i,1),_xlfn.LAMBDA(_xlpm.a,IF(CODE(_xlpm.a)&gt;64,CODE(_xlpm.a)-55,CODE(_xlpm.a)-48))))))</f>
        <v>41713</v>
      </c>
      <c r="G265" s="10" t="str">
        <f t="array" ref="G265">IFERROR(INDEX(角色MOD表[],MATCH(1,(角色MOD表[名称]=A265)*(角色MOD表[品质]=E265)*IF(D265="",1,(角色MOD表[属性]="")+ISNUMBER(FIND(D265,角色MOD表[属性]))),0),2),INDEX(武器MOD表[],MATCH(1,(武器MOD表[名称]=A265)*(武器MOD表[品质]=E265)*((武器MOD表[类型]=C265)+(武器MOD表[限定]=C265)),0),2))</f>
        <v>契约者</v>
      </c>
    </row>
    <row r="266" spans="1:7">
      <c r="A266" t="s">
        <v>82</v>
      </c>
      <c r="B266" s="50" t="s">
        <v>1035</v>
      </c>
      <c r="C266" t="s">
        <v>16</v>
      </c>
      <c r="D266" t="s">
        <v>79</v>
      </c>
      <c r="E266" t="s">
        <v>959</v>
      </c>
      <c r="F266">
        <f t="array" ref="F266">SUM(_xlfn.MAP(_xlfn.SEQUENCE(4),_xlfn.LAMBDA(_xlpm.i,POWER(36,4-_xlpm.i)*_xlfn.MAP(MID(代码表[[#This Row],[代码]],_xlpm.i,1),_xlfn.LAMBDA(_xlpm.a,IF(CODE(_xlpm.a)&gt;64,CODE(_xlpm.a)-55,CODE(_xlpm.a)-48))))))</f>
        <v>41714</v>
      </c>
      <c r="G266" s="10" t="str">
        <f t="array" ref="G266">IFERROR(INDEX(角色MOD表[],MATCH(1,(角色MOD表[名称]=A266)*(角色MOD表[品质]=E266)*IF(D266="",1,(角色MOD表[属性]="")+ISNUMBER(FIND(D266,角色MOD表[属性]))),0),2),INDEX(武器MOD表[],MATCH(1,(武器MOD表[名称]=A266)*(武器MOD表[品质]=E266)*((武器MOD表[类型]=C266)+(武器MOD表[限定]=C266)),0),2))</f>
        <v>契约者</v>
      </c>
    </row>
    <row r="267" spans="1:7">
      <c r="A267" t="s">
        <v>28</v>
      </c>
      <c r="B267" s="50" t="s">
        <v>1036</v>
      </c>
      <c r="C267" t="s">
        <v>16</v>
      </c>
      <c r="D267" t="s">
        <v>23</v>
      </c>
      <c r="E267" t="s">
        <v>959</v>
      </c>
      <c r="F267">
        <f t="array" ref="F267">SUM(_xlfn.MAP(_xlfn.SEQUENCE(4),_xlfn.LAMBDA(_xlpm.i,POWER(36,4-_xlpm.i)*_xlfn.MAP(MID(代码表[[#This Row],[代码]],_xlpm.i,1),_xlfn.LAMBDA(_xlpm.a,IF(CODE(_xlpm.a)&gt;64,CODE(_xlpm.a)-55,CODE(_xlpm.a)-48))))))</f>
        <v>41721</v>
      </c>
      <c r="G267" s="10" t="str">
        <f t="array" ref="G267">IFERROR(INDEX(角色MOD表[],MATCH(1,(角色MOD表[名称]=A267)*(角色MOD表[品质]=E267)*IF(D267="",1,(角色MOD表[属性]="")+ISNUMBER(FIND(D267,角色MOD表[属性]))),0),2),INDEX(武器MOD表[],MATCH(1,(武器MOD表[名称]=A267)*(武器MOD表[品质]=E267)*((武器MOD表[类型]=C267)+(武器MOD表[限定]=C267)),0),2))</f>
        <v>契约者</v>
      </c>
    </row>
    <row r="268" spans="1:7">
      <c r="A268" t="s">
        <v>26</v>
      </c>
      <c r="B268" s="50" t="s">
        <v>1037</v>
      </c>
      <c r="C268" t="s">
        <v>16</v>
      </c>
      <c r="D268" t="s">
        <v>23</v>
      </c>
      <c r="E268" t="s">
        <v>959</v>
      </c>
      <c r="F268">
        <f t="array" ref="F268">SUM(_xlfn.MAP(_xlfn.SEQUENCE(4),_xlfn.LAMBDA(_xlpm.i,POWER(36,4-_xlpm.i)*_xlfn.MAP(MID(代码表[[#This Row],[代码]],_xlpm.i,1),_xlfn.LAMBDA(_xlpm.a,IF(CODE(_xlpm.a)&gt;64,CODE(_xlpm.a)-55,CODE(_xlpm.a)-48))))))</f>
        <v>41722</v>
      </c>
      <c r="G268" s="10" t="str">
        <f t="array" ref="G268">IFERROR(INDEX(角色MOD表[],MATCH(1,(角色MOD表[名称]=A268)*(角色MOD表[品质]=E268)*IF(D268="",1,(角色MOD表[属性]="")+ISNUMBER(FIND(D268,角色MOD表[属性]))),0),2),INDEX(武器MOD表[],MATCH(1,(武器MOD表[名称]=A268)*(武器MOD表[品质]=E268)*((武器MOD表[类型]=C268)+(武器MOD表[限定]=C268)),0),2))</f>
        <v>契约者</v>
      </c>
    </row>
    <row r="269" spans="1:7">
      <c r="A269" t="s">
        <v>27</v>
      </c>
      <c r="B269" s="50" t="s">
        <v>1038</v>
      </c>
      <c r="C269" t="s">
        <v>16</v>
      </c>
      <c r="D269" t="s">
        <v>23</v>
      </c>
      <c r="E269" t="s">
        <v>959</v>
      </c>
      <c r="F269">
        <f t="array" ref="F269">SUM(_xlfn.MAP(_xlfn.SEQUENCE(4),_xlfn.LAMBDA(_xlpm.i,POWER(36,4-_xlpm.i)*_xlfn.MAP(MID(代码表[[#This Row],[代码]],_xlpm.i,1),_xlfn.LAMBDA(_xlpm.a,IF(CODE(_xlpm.a)&gt;64,CODE(_xlpm.a)-55,CODE(_xlpm.a)-48))))))</f>
        <v>41723</v>
      </c>
      <c r="G269" s="10" t="str">
        <f t="array" ref="G269">IFERROR(INDEX(角色MOD表[],MATCH(1,(角色MOD表[名称]=A269)*(角色MOD表[品质]=E269)*IF(D269="",1,(角色MOD表[属性]="")+ISNUMBER(FIND(D269,角色MOD表[属性]))),0),2),INDEX(武器MOD表[],MATCH(1,(武器MOD表[名称]=A269)*(武器MOD表[品质]=E269)*((武器MOD表[类型]=C269)+(武器MOD表[限定]=C269)),0),2))</f>
        <v>契约者</v>
      </c>
    </row>
    <row r="270" spans="1:7">
      <c r="A270" t="s">
        <v>25</v>
      </c>
      <c r="B270" s="50" t="s">
        <v>1039</v>
      </c>
      <c r="C270" t="s">
        <v>16</v>
      </c>
      <c r="D270" t="s">
        <v>23</v>
      </c>
      <c r="E270" t="s">
        <v>959</v>
      </c>
      <c r="F270">
        <f t="array" ref="F270">SUM(_xlfn.MAP(_xlfn.SEQUENCE(4),_xlfn.LAMBDA(_xlpm.i,POWER(36,4-_xlpm.i)*_xlfn.MAP(MID(代码表[[#This Row],[代码]],_xlpm.i,1),_xlfn.LAMBDA(_xlpm.a,IF(CODE(_xlpm.a)&gt;64,CODE(_xlpm.a)-55,CODE(_xlpm.a)-48))))))</f>
        <v>41724</v>
      </c>
      <c r="G270" s="10" t="str">
        <f t="array" ref="G270">IFERROR(INDEX(角色MOD表[],MATCH(1,(角色MOD表[名称]=A270)*(角色MOD表[品质]=E270)*IF(D270="",1,(角色MOD表[属性]="")+ISNUMBER(FIND(D270,角色MOD表[属性]))),0),2),INDEX(武器MOD表[],MATCH(1,(武器MOD表[名称]=A270)*(武器MOD表[品质]=E270)*((武器MOD表[类型]=C270)+(武器MOD表[限定]=C270)),0),2))</f>
        <v>契约者</v>
      </c>
    </row>
    <row r="271" spans="1:7">
      <c r="A271" t="s">
        <v>15</v>
      </c>
      <c r="B271" s="50" t="s">
        <v>1040</v>
      </c>
      <c r="C271" t="s">
        <v>16</v>
      </c>
      <c r="D271" t="s">
        <v>37</v>
      </c>
      <c r="E271" t="s">
        <v>959</v>
      </c>
      <c r="F271">
        <f t="array" ref="F271">SUM(_xlfn.MAP(_xlfn.SEQUENCE(4),_xlfn.LAMBDA(_xlpm.i,POWER(36,4-_xlpm.i)*_xlfn.MAP(MID(代码表[[#This Row],[代码]],_xlpm.i,1),_xlfn.LAMBDA(_xlpm.a,IF(CODE(_xlpm.a)&gt;64,CODE(_xlpm.a)-55,CODE(_xlpm.a)-48))))))</f>
        <v>41731</v>
      </c>
      <c r="G271" s="10" t="str">
        <f t="array" ref="G271">IFERROR(INDEX(角色MOD表[],MATCH(1,(角色MOD表[名称]=A271)*(角色MOD表[品质]=E271)*IF(D271="",1,(角色MOD表[属性]="")+ISNUMBER(FIND(D271,角色MOD表[属性]))),0),2),INDEX(武器MOD表[],MATCH(1,(武器MOD表[名称]=A271)*(武器MOD表[品质]=E271)*((武器MOD表[类型]=C271)+(武器MOD表[限定]=C271)),0),2))</f>
        <v>契约者</v>
      </c>
    </row>
    <row r="272" spans="1:7">
      <c r="A272" t="s">
        <v>1041</v>
      </c>
      <c r="B272" s="50" t="s">
        <v>1042</v>
      </c>
      <c r="C272" t="s">
        <v>16</v>
      </c>
      <c r="D272" t="s">
        <v>37</v>
      </c>
      <c r="E272" t="s">
        <v>959</v>
      </c>
      <c r="F272">
        <f t="array" ref="F272">SUM(_xlfn.MAP(_xlfn.SEQUENCE(4),_xlfn.LAMBDA(_xlpm.i,POWER(36,4-_xlpm.i)*_xlfn.MAP(MID(代码表[[#This Row],[代码]],_xlpm.i,1),_xlfn.LAMBDA(_xlpm.a,IF(CODE(_xlpm.a)&gt;64,CODE(_xlpm.a)-55,CODE(_xlpm.a)-48))))))</f>
        <v>41732</v>
      </c>
      <c r="G272" s="10" t="str">
        <f t="array" ref="G272">IFERROR(INDEX(角色MOD表[],MATCH(1,(角色MOD表[名称]=A272)*(角色MOD表[品质]=E272)*IF(D272="",1,(角色MOD表[属性]="")+ISNUMBER(FIND(D272,角色MOD表[属性]))),0),2),INDEX(武器MOD表[],MATCH(1,(武器MOD表[名称]=A272)*(武器MOD表[品质]=E272)*((武器MOD表[类型]=C272)+(武器MOD表[限定]=C272)),0),2))</f>
        <v>契约者</v>
      </c>
    </row>
    <row r="273" spans="1:7">
      <c r="A273" t="s">
        <v>27</v>
      </c>
      <c r="B273" s="50" t="s">
        <v>1043</v>
      </c>
      <c r="C273" t="s">
        <v>16</v>
      </c>
      <c r="D273" t="s">
        <v>37</v>
      </c>
      <c r="E273" t="s">
        <v>959</v>
      </c>
      <c r="F273">
        <f t="array" ref="F273">SUM(_xlfn.MAP(_xlfn.SEQUENCE(4),_xlfn.LAMBDA(_xlpm.i,POWER(36,4-_xlpm.i)*_xlfn.MAP(MID(代码表[[#This Row],[代码]],_xlpm.i,1),_xlfn.LAMBDA(_xlpm.a,IF(CODE(_xlpm.a)&gt;64,CODE(_xlpm.a)-55,CODE(_xlpm.a)-48))))))</f>
        <v>41733</v>
      </c>
      <c r="G273" s="10" t="str">
        <f t="array" ref="G273">IFERROR(INDEX(角色MOD表[],MATCH(1,(角色MOD表[名称]=A273)*(角色MOD表[品质]=E273)*IF(D273="",1,(角色MOD表[属性]="")+ISNUMBER(FIND(D273,角色MOD表[属性]))),0),2),INDEX(武器MOD表[],MATCH(1,(武器MOD表[名称]=A273)*(武器MOD表[品质]=E273)*((武器MOD表[类型]=C273)+(武器MOD表[限定]=C273)),0),2))</f>
        <v>契约者</v>
      </c>
    </row>
    <row r="274" spans="1:7">
      <c r="A274" t="s">
        <v>39</v>
      </c>
      <c r="B274" s="50" t="s">
        <v>1044</v>
      </c>
      <c r="C274" t="s">
        <v>16</v>
      </c>
      <c r="D274" t="s">
        <v>37</v>
      </c>
      <c r="E274" t="s">
        <v>959</v>
      </c>
      <c r="F274">
        <f t="array" ref="F274">SUM(_xlfn.MAP(_xlfn.SEQUENCE(4),_xlfn.LAMBDA(_xlpm.i,POWER(36,4-_xlpm.i)*_xlfn.MAP(MID(代码表[[#This Row],[代码]],_xlpm.i,1),_xlfn.LAMBDA(_xlpm.a,IF(CODE(_xlpm.a)&gt;64,CODE(_xlpm.a)-55,CODE(_xlpm.a)-48))))))</f>
        <v>41734</v>
      </c>
      <c r="G274" s="10" t="str">
        <f t="array" ref="G274">IFERROR(INDEX(角色MOD表[],MATCH(1,(角色MOD表[名称]=A274)*(角色MOD表[品质]=E274)*IF(D274="",1,(角色MOD表[属性]="")+ISNUMBER(FIND(D274,角色MOD表[属性]))),0),2),INDEX(武器MOD表[],MATCH(1,(武器MOD表[名称]=A274)*(武器MOD表[品质]=E274)*((武器MOD表[类型]=C274)+(武器MOD表[限定]=C274)),0),2))</f>
        <v>契约者</v>
      </c>
    </row>
    <row r="275" spans="1:7">
      <c r="A275" t="s">
        <v>28</v>
      </c>
      <c r="B275" s="50" t="s">
        <v>1045</v>
      </c>
      <c r="C275" t="s">
        <v>16</v>
      </c>
      <c r="D275" t="s">
        <v>10</v>
      </c>
      <c r="E275" t="s">
        <v>959</v>
      </c>
      <c r="F275">
        <f t="array" ref="F275">SUM(_xlfn.MAP(_xlfn.SEQUENCE(4),_xlfn.LAMBDA(_xlpm.i,POWER(36,4-_xlpm.i)*_xlfn.MAP(MID(代码表[[#This Row],[代码]],_xlpm.i,1),_xlfn.LAMBDA(_xlpm.a,IF(CODE(_xlpm.a)&gt;64,CODE(_xlpm.a)-55,CODE(_xlpm.a)-48))))))</f>
        <v>41741</v>
      </c>
      <c r="G275" s="10" t="str">
        <f t="array" ref="G275">IFERROR(INDEX(角色MOD表[],MATCH(1,(角色MOD表[名称]=A275)*(角色MOD表[品质]=E275)*IF(D275="",1,(角色MOD表[属性]="")+ISNUMBER(FIND(D275,角色MOD表[属性]))),0),2),INDEX(武器MOD表[],MATCH(1,(武器MOD表[名称]=A275)*(武器MOD表[品质]=E275)*((武器MOD表[类型]=C275)+(武器MOD表[限定]=C275)),0),2))</f>
        <v>契约者</v>
      </c>
    </row>
    <row r="276" spans="1:7">
      <c r="A276" t="s">
        <v>81</v>
      </c>
      <c r="B276" s="50" t="s">
        <v>1046</v>
      </c>
      <c r="C276" t="s">
        <v>16</v>
      </c>
      <c r="D276" t="s">
        <v>10</v>
      </c>
      <c r="E276" t="s">
        <v>959</v>
      </c>
      <c r="F276">
        <f t="array" ref="F276">SUM(_xlfn.MAP(_xlfn.SEQUENCE(4),_xlfn.LAMBDA(_xlpm.i,POWER(36,4-_xlpm.i)*_xlfn.MAP(MID(代码表[[#This Row],[代码]],_xlpm.i,1),_xlfn.LAMBDA(_xlpm.a,IF(CODE(_xlpm.a)&gt;64,CODE(_xlpm.a)-55,CODE(_xlpm.a)-48))))))</f>
        <v>41742</v>
      </c>
      <c r="G276" s="10" t="str">
        <f t="array" ref="G276">IFERROR(INDEX(角色MOD表[],MATCH(1,(角色MOD表[名称]=A276)*(角色MOD表[品质]=E276)*IF(D276="",1,(角色MOD表[属性]="")+ISNUMBER(FIND(D276,角色MOD表[属性]))),0),2),INDEX(武器MOD表[],MATCH(1,(武器MOD表[名称]=A276)*(武器MOD表[品质]=E276)*((武器MOD表[类型]=C276)+(武器MOD表[限定]=C276)),0),2))</f>
        <v>契约者</v>
      </c>
    </row>
    <row r="277" spans="1:7">
      <c r="A277" t="s">
        <v>12</v>
      </c>
      <c r="B277" s="50" t="s">
        <v>1047</v>
      </c>
      <c r="C277" t="s">
        <v>16</v>
      </c>
      <c r="D277" t="s">
        <v>10</v>
      </c>
      <c r="E277" t="s">
        <v>959</v>
      </c>
      <c r="F277">
        <f t="array" ref="F277">SUM(_xlfn.MAP(_xlfn.SEQUENCE(4),_xlfn.LAMBDA(_xlpm.i,POWER(36,4-_xlpm.i)*_xlfn.MAP(MID(代码表[[#This Row],[代码]],_xlpm.i,1),_xlfn.LAMBDA(_xlpm.a,IF(CODE(_xlpm.a)&gt;64,CODE(_xlpm.a)-55,CODE(_xlpm.a)-48))))))</f>
        <v>41743</v>
      </c>
      <c r="G277" s="10" t="str">
        <f t="array" ref="G277">IFERROR(INDEX(角色MOD表[],MATCH(1,(角色MOD表[名称]=A277)*(角色MOD表[品质]=E277)*IF(D277="",1,(角色MOD表[属性]="")+ISNUMBER(FIND(D277,角色MOD表[属性]))),0),2),INDEX(武器MOD表[],MATCH(1,(武器MOD表[名称]=A277)*(武器MOD表[品质]=E277)*((武器MOD表[类型]=C277)+(武器MOD表[限定]=C277)),0),2))</f>
        <v>契约者</v>
      </c>
    </row>
    <row r="278" spans="1:7">
      <c r="A278" t="s">
        <v>1048</v>
      </c>
      <c r="B278" s="50" t="s">
        <v>1049</v>
      </c>
      <c r="C278" t="s">
        <v>16</v>
      </c>
      <c r="D278" t="s">
        <v>10</v>
      </c>
      <c r="E278" t="s">
        <v>959</v>
      </c>
      <c r="F278">
        <f t="array" ref="F278">SUM(_xlfn.MAP(_xlfn.SEQUENCE(4),_xlfn.LAMBDA(_xlpm.i,POWER(36,4-_xlpm.i)*_xlfn.MAP(MID(代码表[[#This Row],[代码]],_xlpm.i,1),_xlfn.LAMBDA(_xlpm.a,IF(CODE(_xlpm.a)&gt;64,CODE(_xlpm.a)-55,CODE(_xlpm.a)-48))))))</f>
        <v>41744</v>
      </c>
      <c r="G278" s="10" t="str">
        <f t="array" ref="G278">IFERROR(INDEX(角色MOD表[],MATCH(1,(角色MOD表[名称]=A278)*(角色MOD表[品质]=E278)*IF(D278="",1,(角色MOD表[属性]="")+ISNUMBER(FIND(D278,角色MOD表[属性]))),0),2),INDEX(武器MOD表[],MATCH(1,(武器MOD表[名称]=A278)*(武器MOD表[品质]=E278)*((武器MOD表[类型]=C278)+(武器MOD表[限定]=C278)),0),2))</f>
        <v>契约者</v>
      </c>
    </row>
    <row r="279" spans="1:7">
      <c r="A279" t="s">
        <v>15</v>
      </c>
      <c r="B279" s="50" t="s">
        <v>1050</v>
      </c>
      <c r="C279" t="s">
        <v>16</v>
      </c>
      <c r="D279" t="s">
        <v>43</v>
      </c>
      <c r="E279" t="s">
        <v>959</v>
      </c>
      <c r="F279">
        <f t="array" ref="F279">SUM(_xlfn.MAP(_xlfn.SEQUENCE(4),_xlfn.LAMBDA(_xlpm.i,POWER(36,4-_xlpm.i)*_xlfn.MAP(MID(代码表[[#This Row],[代码]],_xlpm.i,1),_xlfn.LAMBDA(_xlpm.a,IF(CODE(_xlpm.a)&gt;64,CODE(_xlpm.a)-55,CODE(_xlpm.a)-48))))))</f>
        <v>41751</v>
      </c>
      <c r="G279" s="10" t="str">
        <f t="array" ref="G279">IFERROR(INDEX(角色MOD表[],MATCH(1,(角色MOD表[名称]=A279)*(角色MOD表[品质]=E279)*IF(D279="",1,(角色MOD表[属性]="")+ISNUMBER(FIND(D279,角色MOD表[属性]))),0),2),INDEX(武器MOD表[],MATCH(1,(武器MOD表[名称]=A279)*(武器MOD表[品质]=E279)*((武器MOD表[类型]=C279)+(武器MOD表[限定]=C279)),0),2))</f>
        <v>契约者</v>
      </c>
    </row>
    <row r="280" spans="1:7">
      <c r="A280" t="s">
        <v>14</v>
      </c>
      <c r="B280" s="50" t="s">
        <v>1051</v>
      </c>
      <c r="C280" t="s">
        <v>16</v>
      </c>
      <c r="D280" t="s">
        <v>43</v>
      </c>
      <c r="E280" t="s">
        <v>959</v>
      </c>
      <c r="F280">
        <f t="array" ref="F280">SUM(_xlfn.MAP(_xlfn.SEQUENCE(4),_xlfn.LAMBDA(_xlpm.i,POWER(36,4-_xlpm.i)*_xlfn.MAP(MID(代码表[[#This Row],[代码]],_xlpm.i,1),_xlfn.LAMBDA(_xlpm.a,IF(CODE(_xlpm.a)&gt;64,CODE(_xlpm.a)-55,CODE(_xlpm.a)-48))))))</f>
        <v>41752</v>
      </c>
      <c r="G280" s="10" t="str">
        <f t="array" ref="G280">IFERROR(INDEX(角色MOD表[],MATCH(1,(角色MOD表[名称]=A280)*(角色MOD表[品质]=E280)*IF(D280="",1,(角色MOD表[属性]="")+ISNUMBER(FIND(D280,角色MOD表[属性]))),0),2),INDEX(武器MOD表[],MATCH(1,(武器MOD表[名称]=A280)*(武器MOD表[品质]=E280)*((武器MOD表[类型]=C280)+(武器MOD表[限定]=C280)),0),2))</f>
        <v>契约者</v>
      </c>
    </row>
    <row r="281" spans="1:7">
      <c r="A281" t="s">
        <v>12</v>
      </c>
      <c r="B281" s="50" t="s">
        <v>1052</v>
      </c>
      <c r="C281" t="s">
        <v>16</v>
      </c>
      <c r="D281" t="s">
        <v>43</v>
      </c>
      <c r="E281" t="s">
        <v>959</v>
      </c>
      <c r="F281">
        <f t="array" ref="F281">SUM(_xlfn.MAP(_xlfn.SEQUENCE(4),_xlfn.LAMBDA(_xlpm.i,POWER(36,4-_xlpm.i)*_xlfn.MAP(MID(代码表[[#This Row],[代码]],_xlpm.i,1),_xlfn.LAMBDA(_xlpm.a,IF(CODE(_xlpm.a)&gt;64,CODE(_xlpm.a)-55,CODE(_xlpm.a)-48))))))</f>
        <v>41753</v>
      </c>
      <c r="G281" s="10" t="str">
        <f t="array" ref="G281">IFERROR(INDEX(角色MOD表[],MATCH(1,(角色MOD表[名称]=A281)*(角色MOD表[品质]=E281)*IF(D281="",1,(角色MOD表[属性]="")+ISNUMBER(FIND(D281,角色MOD表[属性]))),0),2),INDEX(武器MOD表[],MATCH(1,(武器MOD表[名称]=A281)*(武器MOD表[品质]=E281)*((武器MOD表[类型]=C281)+(武器MOD表[限定]=C281)),0),2))</f>
        <v>契约者</v>
      </c>
    </row>
    <row r="282" spans="1:7">
      <c r="A282" t="s">
        <v>13</v>
      </c>
      <c r="B282" s="50" t="s">
        <v>1053</v>
      </c>
      <c r="C282" t="s">
        <v>16</v>
      </c>
      <c r="D282" t="s">
        <v>43</v>
      </c>
      <c r="E282" t="s">
        <v>959</v>
      </c>
      <c r="F282">
        <f t="array" ref="F282">SUM(_xlfn.MAP(_xlfn.SEQUENCE(4),_xlfn.LAMBDA(_xlpm.i,POWER(36,4-_xlpm.i)*_xlfn.MAP(MID(代码表[[#This Row],[代码]],_xlpm.i,1),_xlfn.LAMBDA(_xlpm.a,IF(CODE(_xlpm.a)&gt;64,CODE(_xlpm.a)-55,CODE(_xlpm.a)-48))))))</f>
        <v>41754</v>
      </c>
      <c r="G282" s="10" t="str">
        <f t="array" ref="G282">IFERROR(INDEX(角色MOD表[],MATCH(1,(角色MOD表[名称]=A282)*(角色MOD表[品质]=E282)*IF(D282="",1,(角色MOD表[属性]="")+ISNUMBER(FIND(D282,角色MOD表[属性]))),0),2),INDEX(武器MOD表[],MATCH(1,(武器MOD表[名称]=A282)*(武器MOD表[品质]=E282)*((武器MOD表[类型]=C282)+(武器MOD表[限定]=C282)),0),2))</f>
        <v>契约者</v>
      </c>
    </row>
    <row r="283" spans="1:7">
      <c r="A283" t="s">
        <v>74</v>
      </c>
      <c r="B283" s="50" t="s">
        <v>1054</v>
      </c>
      <c r="C283" t="s">
        <v>16</v>
      </c>
      <c r="D283" t="s">
        <v>72</v>
      </c>
      <c r="E283" t="s">
        <v>959</v>
      </c>
      <c r="F283">
        <f t="array" ref="F283">SUM(_xlfn.MAP(_xlfn.SEQUENCE(4),_xlfn.LAMBDA(_xlpm.i,POWER(36,4-_xlpm.i)*_xlfn.MAP(MID(代码表[[#This Row],[代码]],_xlpm.i,1),_xlfn.LAMBDA(_xlpm.a,IF(CODE(_xlpm.a)&gt;64,CODE(_xlpm.a)-55,CODE(_xlpm.a)-48))))))</f>
        <v>41761</v>
      </c>
      <c r="G283" s="10" t="str">
        <f t="array" ref="G283">IFERROR(INDEX(角色MOD表[],MATCH(1,(角色MOD表[名称]=A283)*(角色MOD表[品质]=E283)*IF(D283="",1,(角色MOD表[属性]="")+ISNUMBER(FIND(D283,角色MOD表[属性]))),0),2),INDEX(武器MOD表[],MATCH(1,(武器MOD表[名称]=A283)*(武器MOD表[品质]=E283)*((武器MOD表[类型]=C283)+(武器MOD表[限定]=C283)),0),2))</f>
        <v>契约者</v>
      </c>
    </row>
    <row r="284" spans="1:7">
      <c r="A284" t="s">
        <v>14</v>
      </c>
      <c r="B284" s="50" t="s">
        <v>1055</v>
      </c>
      <c r="C284" t="s">
        <v>16</v>
      </c>
      <c r="D284" t="s">
        <v>72</v>
      </c>
      <c r="E284" t="s">
        <v>959</v>
      </c>
      <c r="F284">
        <f t="array" ref="F284">SUM(_xlfn.MAP(_xlfn.SEQUENCE(4),_xlfn.LAMBDA(_xlpm.i,POWER(36,4-_xlpm.i)*_xlfn.MAP(MID(代码表[[#This Row],[代码]],_xlpm.i,1),_xlfn.LAMBDA(_xlpm.a,IF(CODE(_xlpm.a)&gt;64,CODE(_xlpm.a)-55,CODE(_xlpm.a)-48))))))</f>
        <v>41762</v>
      </c>
      <c r="G284" s="10" t="str">
        <f t="array" ref="G284">IFERROR(INDEX(角色MOD表[],MATCH(1,(角色MOD表[名称]=A284)*(角色MOD表[品质]=E284)*IF(D284="",1,(角色MOD表[属性]="")+ISNUMBER(FIND(D284,角色MOD表[属性]))),0),2),INDEX(武器MOD表[],MATCH(1,(武器MOD表[名称]=A284)*(武器MOD表[品质]=E284)*((武器MOD表[类型]=C284)+(武器MOD表[限定]=C284)),0),2))</f>
        <v>契约者</v>
      </c>
    </row>
    <row r="285" spans="1:7">
      <c r="A285" t="s">
        <v>1041</v>
      </c>
      <c r="B285" s="50" t="s">
        <v>1056</v>
      </c>
      <c r="C285" t="s">
        <v>16</v>
      </c>
      <c r="D285" t="s">
        <v>72</v>
      </c>
      <c r="E285" t="s">
        <v>959</v>
      </c>
      <c r="F285">
        <f t="array" ref="F285">SUM(_xlfn.MAP(_xlfn.SEQUENCE(4),_xlfn.LAMBDA(_xlpm.i,POWER(36,4-_xlpm.i)*_xlfn.MAP(MID(代码表[[#This Row],[代码]],_xlpm.i,1),_xlfn.LAMBDA(_xlpm.a,IF(CODE(_xlpm.a)&gt;64,CODE(_xlpm.a)-55,CODE(_xlpm.a)-48))))))</f>
        <v>41763</v>
      </c>
      <c r="G285" s="10" t="str">
        <f t="array" ref="G285">IFERROR(INDEX(角色MOD表[],MATCH(1,(角色MOD表[名称]=A285)*(角色MOD表[品质]=E285)*IF(D285="",1,(角色MOD表[属性]="")+ISNUMBER(FIND(D285,角色MOD表[属性]))),0),2),INDEX(武器MOD表[],MATCH(1,(武器MOD表[名称]=A285)*(武器MOD表[品质]=E285)*((武器MOD表[类型]=C285)+(武器MOD表[限定]=C285)),0),2))</f>
        <v>契约者</v>
      </c>
    </row>
    <row r="286" spans="1:7">
      <c r="A286" t="s">
        <v>75</v>
      </c>
      <c r="B286" s="50" t="s">
        <v>1057</v>
      </c>
      <c r="C286" t="s">
        <v>16</v>
      </c>
      <c r="D286" t="s">
        <v>72</v>
      </c>
      <c r="E286" t="s">
        <v>959</v>
      </c>
      <c r="F286">
        <f t="array" ref="F286">SUM(_xlfn.MAP(_xlfn.SEQUENCE(4),_xlfn.LAMBDA(_xlpm.i,POWER(36,4-_xlpm.i)*_xlfn.MAP(MID(代码表[[#This Row],[代码]],_xlpm.i,1),_xlfn.LAMBDA(_xlpm.a,IF(CODE(_xlpm.a)&gt;64,CODE(_xlpm.a)-55,CODE(_xlpm.a)-48))))))</f>
        <v>41764</v>
      </c>
      <c r="G286" s="10" t="str">
        <f t="array" ref="G286">IFERROR(INDEX(角色MOD表[],MATCH(1,(角色MOD表[名称]=A286)*(角色MOD表[品质]=E286)*IF(D286="",1,(角色MOD表[属性]="")+ISNUMBER(FIND(D286,角色MOD表[属性]))),0),2),INDEX(武器MOD表[],MATCH(1,(武器MOD表[名称]=A286)*(武器MOD表[品质]=E286)*((武器MOD表[类型]=C286)+(武器MOD表[限定]=C286)),0),2))</f>
        <v>契约者</v>
      </c>
    </row>
    <row r="287" spans="1:7">
      <c r="A287" t="s">
        <v>1058</v>
      </c>
      <c r="B287" s="50" t="s">
        <v>1059</v>
      </c>
      <c r="C287" t="s">
        <v>16</v>
      </c>
      <c r="D287"/>
      <c r="E287" t="s">
        <v>959</v>
      </c>
      <c r="F287">
        <f t="array" ref="F287">SUM(_xlfn.MAP(_xlfn.SEQUENCE(4),_xlfn.LAMBDA(_xlpm.i,POWER(36,4-_xlpm.i)*_xlfn.MAP(MID(代码表[[#This Row],[代码]],_xlpm.i,1),_xlfn.LAMBDA(_xlpm.a,IF(CODE(_xlpm.a)&gt;64,CODE(_xlpm.a)-55,CODE(_xlpm.a)-48))))))</f>
        <v>41801</v>
      </c>
      <c r="G287" s="10" t="str">
        <f t="array" ref="G287">IFERROR(INDEX(角色MOD表[],MATCH(1,(角色MOD表[名称]=A287)*(角色MOD表[品质]=E287)*IF(D287="",1,(角色MOD表[属性]="")+ISNUMBER(FIND(D287,角色MOD表[属性]))),0),2),INDEX(武器MOD表[],MATCH(1,(武器MOD表[名称]=A287)*(武器MOD表[品质]=E287)*((武器MOD表[类型]=C287)+(武器MOD表[限定]=C287)),0),2))</f>
        <v>中庭蛇</v>
      </c>
    </row>
    <row r="288" spans="1:7">
      <c r="A288" t="s">
        <v>1060</v>
      </c>
      <c r="B288" s="50" t="s">
        <v>1061</v>
      </c>
      <c r="C288" t="s">
        <v>16</v>
      </c>
      <c r="D288"/>
      <c r="E288" t="s">
        <v>959</v>
      </c>
      <c r="F288">
        <f t="array" ref="F288">SUM(_xlfn.MAP(_xlfn.SEQUENCE(4),_xlfn.LAMBDA(_xlpm.i,POWER(36,4-_xlpm.i)*_xlfn.MAP(MID(代码表[[#This Row],[代码]],_xlpm.i,1),_xlfn.LAMBDA(_xlpm.a,IF(CODE(_xlpm.a)&gt;64,CODE(_xlpm.a)-55,CODE(_xlpm.a)-48))))))</f>
        <v>41802</v>
      </c>
      <c r="G288" s="10" t="str">
        <f t="array" ref="G288">IFERROR(INDEX(角色MOD表[],MATCH(1,(角色MOD表[名称]=A288)*(角色MOD表[品质]=E288)*IF(D288="",1,(角色MOD表[属性]="")+ISNUMBER(FIND(D288,角色MOD表[属性]))),0),2),INDEX(武器MOD表[],MATCH(1,(武器MOD表[名称]=A288)*(武器MOD表[品质]=E288)*((武器MOD表[类型]=C288)+(武器MOD表[限定]=C288)),0),2))</f>
        <v>中庭蛇</v>
      </c>
    </row>
    <row r="289" spans="1:7">
      <c r="A289" t="s">
        <v>1062</v>
      </c>
      <c r="B289" s="50" t="s">
        <v>1063</v>
      </c>
      <c r="C289" t="s">
        <v>16</v>
      </c>
      <c r="D289"/>
      <c r="E289" t="s">
        <v>959</v>
      </c>
      <c r="F289">
        <f t="array" ref="F289">SUM(_xlfn.MAP(_xlfn.SEQUENCE(4),_xlfn.LAMBDA(_xlpm.i,POWER(36,4-_xlpm.i)*_xlfn.MAP(MID(代码表[[#This Row],[代码]],_xlpm.i,1),_xlfn.LAMBDA(_xlpm.a,IF(CODE(_xlpm.a)&gt;64,CODE(_xlpm.a)-55,CODE(_xlpm.a)-48))))))</f>
        <v>41803</v>
      </c>
      <c r="G289" s="10" t="str">
        <f t="array" ref="G289">IFERROR(INDEX(角色MOD表[],MATCH(1,(角色MOD表[名称]=A289)*(角色MOD表[品质]=E289)*IF(D289="",1,(角色MOD表[属性]="")+ISNUMBER(FIND(D289,角色MOD表[属性]))),0),2),INDEX(武器MOD表[],MATCH(1,(武器MOD表[名称]=A289)*(武器MOD表[品质]=E289)*((武器MOD表[类型]=C289)+(武器MOD表[限定]=C289)),0),2))</f>
        <v>中庭蛇</v>
      </c>
    </row>
    <row r="290" spans="1:7">
      <c r="A290" t="s">
        <v>1064</v>
      </c>
      <c r="B290" s="50" t="s">
        <v>1065</v>
      </c>
      <c r="C290" t="s">
        <v>16</v>
      </c>
      <c r="E290" t="s">
        <v>959</v>
      </c>
      <c r="F290">
        <f t="array" ref="F290">SUM(_xlfn.MAP(_xlfn.SEQUENCE(4),_xlfn.LAMBDA(_xlpm.i,POWER(36,4-_xlpm.i)*_xlfn.MAP(MID(代码表[[#This Row],[代码]],_xlpm.i,1),_xlfn.LAMBDA(_xlpm.a,IF(CODE(_xlpm.a)&gt;64,CODE(_xlpm.a)-55,CODE(_xlpm.a)-48))))))</f>
        <v>41804</v>
      </c>
      <c r="G290" s="10" t="str">
        <f t="array" ref="G290">IFERROR(INDEX(角色MOD表[],MATCH(1,(角色MOD表[名称]=A290)*(角色MOD表[品质]=E290)*IF(D290="",1,(角色MOD表[属性]="")+ISNUMBER(FIND(D290,角色MOD表[属性]))),0),2),INDEX(武器MOD表[],MATCH(1,(武器MOD表[名称]=A290)*(武器MOD表[品质]=E290)*((武器MOD表[类型]=C290)+(武器MOD表[限定]=C290)),0),2))</f>
        <v>中庭蛇</v>
      </c>
    </row>
    <row r="291" spans="1:7">
      <c r="A291" t="s">
        <v>1066</v>
      </c>
      <c r="B291" s="50" t="s">
        <v>1067</v>
      </c>
      <c r="C291" t="s">
        <v>16</v>
      </c>
      <c r="E291" t="s">
        <v>959</v>
      </c>
      <c r="F291">
        <f t="array" ref="F291">SUM(_xlfn.MAP(_xlfn.SEQUENCE(4),_xlfn.LAMBDA(_xlpm.i,POWER(36,4-_xlpm.i)*_xlfn.MAP(MID(代码表[[#This Row],[代码]],_xlpm.i,1),_xlfn.LAMBDA(_xlpm.a,IF(CODE(_xlpm.a)&gt;64,CODE(_xlpm.a)-55,CODE(_xlpm.a)-48))))))</f>
        <v>41805</v>
      </c>
      <c r="G291" s="10" t="str">
        <f t="array" ref="G291">IFERROR(INDEX(角色MOD表[],MATCH(1,(角色MOD表[名称]=A291)*(角色MOD表[品质]=E291)*IF(D291="",1,(角色MOD表[属性]="")+ISNUMBER(FIND(D291,角色MOD表[属性]))),0),2),INDEX(武器MOD表[],MATCH(1,(武器MOD表[名称]=A291)*(武器MOD表[品质]=E291)*((武器MOD表[类型]=C291)+(武器MOD表[限定]=C291)),0),2))</f>
        <v>中庭蛇</v>
      </c>
    </row>
    <row r="292" spans="1:7">
      <c r="A292" t="s">
        <v>1068</v>
      </c>
      <c r="B292" s="50" t="s">
        <v>1069</v>
      </c>
      <c r="C292" t="s">
        <v>16</v>
      </c>
      <c r="D292"/>
      <c r="E292" t="s">
        <v>959</v>
      </c>
      <c r="F292">
        <f t="array" ref="F292">SUM(_xlfn.MAP(_xlfn.SEQUENCE(4),_xlfn.LAMBDA(_xlpm.i,POWER(36,4-_xlpm.i)*_xlfn.MAP(MID(代码表[[#This Row],[代码]],_xlpm.i,1),_xlfn.LAMBDA(_xlpm.a,IF(CODE(_xlpm.a)&gt;64,CODE(_xlpm.a)-55,CODE(_xlpm.a)-48))))))</f>
        <v>41806</v>
      </c>
      <c r="G292" s="10" t="str">
        <f t="array" ref="G292">IFERROR(INDEX(角色MOD表[],MATCH(1,(角色MOD表[名称]=A292)*(角色MOD表[品质]=E292)*IF(D292="",1,(角色MOD表[属性]="")+ISNUMBER(FIND(D292,角色MOD表[属性]))),0),2),INDEX(武器MOD表[],MATCH(1,(武器MOD表[名称]=A292)*(武器MOD表[品质]=E292)*((武器MOD表[类型]=C292)+(武器MOD表[限定]=C292)),0),2))</f>
        <v>中庭蛇</v>
      </c>
    </row>
    <row r="293" spans="1:7">
      <c r="A293" t="s">
        <v>1070</v>
      </c>
      <c r="B293" s="50" t="s">
        <v>1071</v>
      </c>
      <c r="C293" t="s">
        <v>16</v>
      </c>
      <c r="D293"/>
      <c r="E293" t="s">
        <v>959</v>
      </c>
      <c r="F293">
        <f t="array" ref="F293">SUM(_xlfn.MAP(_xlfn.SEQUENCE(4),_xlfn.LAMBDA(_xlpm.i,POWER(36,4-_xlpm.i)*_xlfn.MAP(MID(代码表[[#This Row],[代码]],_xlpm.i,1),_xlfn.LAMBDA(_xlpm.a,IF(CODE(_xlpm.a)&gt;64,CODE(_xlpm.a)-55,CODE(_xlpm.a)-48))))))</f>
        <v>41807</v>
      </c>
      <c r="G293" s="10" t="str">
        <f t="array" ref="G293">IFERROR(INDEX(角色MOD表[],MATCH(1,(角色MOD表[名称]=A293)*(角色MOD表[品质]=E293)*IF(D293="",1,(角色MOD表[属性]="")+ISNUMBER(FIND(D293,角色MOD表[属性]))),0),2),INDEX(武器MOD表[],MATCH(1,(武器MOD表[名称]=A293)*(武器MOD表[品质]=E293)*((武器MOD表[类型]=C293)+(武器MOD表[限定]=C293)),0),2))</f>
        <v>中庭蛇</v>
      </c>
    </row>
    <row r="294" spans="1:7">
      <c r="A294" t="s">
        <v>1072</v>
      </c>
      <c r="B294" s="50" t="s">
        <v>1073</v>
      </c>
      <c r="C294" t="s">
        <v>16</v>
      </c>
      <c r="D294"/>
      <c r="E294" t="s">
        <v>959</v>
      </c>
      <c r="F294">
        <f t="array" ref="F294">SUM(_xlfn.MAP(_xlfn.SEQUENCE(4),_xlfn.LAMBDA(_xlpm.i,POWER(36,4-_xlpm.i)*_xlfn.MAP(MID(代码表[[#This Row],[代码]],_xlpm.i,1),_xlfn.LAMBDA(_xlpm.a,IF(CODE(_xlpm.a)&gt;64,CODE(_xlpm.a)-55,CODE(_xlpm.a)-48))))))</f>
        <v>41808</v>
      </c>
      <c r="G294" s="10" t="str">
        <f t="array" ref="G294">IFERROR(INDEX(角色MOD表[],MATCH(1,(角色MOD表[名称]=A294)*(角色MOD表[品质]=E294)*IF(D294="",1,(角色MOD表[属性]="")+ISNUMBER(FIND(D294,角色MOD表[属性]))),0),2),INDEX(武器MOD表[],MATCH(1,(武器MOD表[名称]=A294)*(武器MOD表[品质]=E294)*((武器MOD表[类型]=C294)+(武器MOD表[限定]=C294)),0),2))</f>
        <v>中庭蛇</v>
      </c>
    </row>
    <row r="295" spans="1:7">
      <c r="A295" t="s">
        <v>1074</v>
      </c>
      <c r="B295" s="50" t="s">
        <v>1075</v>
      </c>
      <c r="C295" t="s">
        <v>16</v>
      </c>
      <c r="D295"/>
      <c r="E295" t="s">
        <v>959</v>
      </c>
      <c r="F295">
        <f t="array" ref="F295">SUM(_xlfn.MAP(_xlfn.SEQUENCE(4),_xlfn.LAMBDA(_xlpm.i,POWER(36,4-_xlpm.i)*_xlfn.MAP(MID(代码表[[#This Row],[代码]],_xlpm.i,1),_xlfn.LAMBDA(_xlpm.a,IF(CODE(_xlpm.a)&gt;64,CODE(_xlpm.a)-55,CODE(_xlpm.a)-48))))))</f>
        <v>41809</v>
      </c>
      <c r="G295" s="10" t="str">
        <f t="array" ref="G295">IFERROR(INDEX(角色MOD表[],MATCH(1,(角色MOD表[名称]=A295)*(角色MOD表[品质]=E295)*IF(D295="",1,(角色MOD表[属性]="")+ISNUMBER(FIND(D295,角色MOD表[属性]))),0),2),INDEX(武器MOD表[],MATCH(1,(武器MOD表[名称]=A295)*(武器MOD表[品质]=E295)*((武器MOD表[类型]=C295)+(武器MOD表[限定]=C295)),0),2))</f>
        <v>中庭蛇</v>
      </c>
    </row>
    <row r="296" spans="1:7">
      <c r="A296" s="9" t="s">
        <v>1076</v>
      </c>
      <c r="B296" s="50" t="s">
        <v>1077</v>
      </c>
      <c r="C296" t="s">
        <v>16</v>
      </c>
      <c r="D296"/>
      <c r="E296" t="s">
        <v>959</v>
      </c>
      <c r="F296">
        <f t="array" ref="F296">SUM(_xlfn.MAP(_xlfn.SEQUENCE(4),_xlfn.LAMBDA(_xlpm.i,POWER(36,4-_xlpm.i)*_xlfn.MAP(MID(代码表[[#This Row],[代码]],_xlpm.i,1),_xlfn.LAMBDA(_xlpm.a,IF(CODE(_xlpm.a)&gt;64,CODE(_xlpm.a)-55,CODE(_xlpm.a)-48))))))</f>
        <v>41810</v>
      </c>
      <c r="G296" s="10" t="str">
        <f t="array" ref="G296">IFERROR(INDEX(角色MOD表[],MATCH(1,(角色MOD表[名称]=A296)*(角色MOD表[品质]=E296)*IF(D296="",1,(角色MOD表[属性]="")+ISNUMBER(FIND(D296,角色MOD表[属性]))),0),2),INDEX(武器MOD表[],MATCH(1,(武器MOD表[名称]=A296)*(武器MOD表[品质]=E296)*((武器MOD表[类型]=C296)+(武器MOD表[限定]=C296)),0),2))</f>
        <v>中庭蛇</v>
      </c>
    </row>
    <row r="297" spans="1:7">
      <c r="A297" t="s">
        <v>1078</v>
      </c>
      <c r="B297" s="50" t="s">
        <v>1079</v>
      </c>
      <c r="C297" t="s">
        <v>16</v>
      </c>
      <c r="D297"/>
      <c r="E297" t="s">
        <v>959</v>
      </c>
      <c r="F297">
        <f t="array" ref="F297">SUM(_xlfn.MAP(_xlfn.SEQUENCE(4),_xlfn.LAMBDA(_xlpm.i,POWER(36,4-_xlpm.i)*_xlfn.MAP(MID(代码表[[#This Row],[代码]],_xlpm.i,1),_xlfn.LAMBDA(_xlpm.a,IF(CODE(_xlpm.a)&gt;64,CODE(_xlpm.a)-55,CODE(_xlpm.a)-48))))))</f>
        <v>41811</v>
      </c>
      <c r="G297" s="10" t="str">
        <f t="array" ref="G297">IFERROR(INDEX(角色MOD表[],MATCH(1,(角色MOD表[名称]=A297)*(角色MOD表[品质]=E297)*IF(D297="",1,(角色MOD表[属性]="")+ISNUMBER(FIND(D297,角色MOD表[属性]))),0),2),INDEX(武器MOD表[],MATCH(1,(武器MOD表[名称]=A297)*(武器MOD表[品质]=E297)*((武器MOD表[类型]=C297)+(武器MOD表[限定]=C297)),0),2))</f>
        <v>中庭蛇</v>
      </c>
    </row>
    <row r="298" spans="1:7">
      <c r="A298" t="s">
        <v>1080</v>
      </c>
      <c r="B298" s="50" t="s">
        <v>1081</v>
      </c>
      <c r="C298" t="s">
        <v>16</v>
      </c>
      <c r="D298"/>
      <c r="E298" t="s">
        <v>959</v>
      </c>
      <c r="F298">
        <f t="array" ref="F298">SUM(_xlfn.MAP(_xlfn.SEQUENCE(4),_xlfn.LAMBDA(_xlpm.i,POWER(36,4-_xlpm.i)*_xlfn.MAP(MID(代码表[[#This Row],[代码]],_xlpm.i,1),_xlfn.LAMBDA(_xlpm.a,IF(CODE(_xlpm.a)&gt;64,CODE(_xlpm.a)-55,CODE(_xlpm.a)-48))))))</f>
        <v>41812</v>
      </c>
      <c r="G298" s="10" t="str">
        <f t="array" ref="G298">IFERROR(INDEX(角色MOD表[],MATCH(1,(角色MOD表[名称]=A298)*(角色MOD表[品质]=E298)*IF(D298="",1,(角色MOD表[属性]="")+ISNUMBER(FIND(D298,角色MOD表[属性]))),0),2),INDEX(武器MOD表[],MATCH(1,(武器MOD表[名称]=A298)*(武器MOD表[品质]=E298)*((武器MOD表[类型]=C298)+(武器MOD表[限定]=C298)),0),2))</f>
        <v>中庭蛇</v>
      </c>
    </row>
    <row r="299" spans="1:7">
      <c r="A299" t="s">
        <v>1082</v>
      </c>
      <c r="B299" s="50" t="s">
        <v>1083</v>
      </c>
      <c r="C299" t="s">
        <v>16</v>
      </c>
      <c r="D299" t="s">
        <v>79</v>
      </c>
      <c r="E299" t="s">
        <v>959</v>
      </c>
      <c r="F299">
        <f t="array" ref="F299">SUM(_xlfn.MAP(_xlfn.SEQUENCE(4),_xlfn.LAMBDA(_xlpm.i,POWER(36,4-_xlpm.i)*_xlfn.MAP(MID(代码表[[#This Row],[代码]],_xlpm.i,1),_xlfn.LAMBDA(_xlpm.a,IF(CODE(_xlpm.a)&gt;64,CODE(_xlpm.a)-55,CODE(_xlpm.a)-48))))))</f>
        <v>41911</v>
      </c>
      <c r="G299" s="10" t="str">
        <f t="array" ref="G299">IFERROR(INDEX(角色MOD表[],MATCH(1,(角色MOD表[名称]=A299)*(角色MOD表[品质]=E299)*IF(D299="",1,(角色MOD表[属性]="")+ISNUMBER(FIND(D299,角色MOD表[属性]))),0),2),INDEX(武器MOD表[],MATCH(1,(武器MOD表[名称]=A299)*(武器MOD表[品质]=E299)*((武器MOD表[类型]=C299)+(武器MOD表[限定]=C299)),0),2))</f>
        <v>审判者</v>
      </c>
    </row>
    <row r="300" spans="1:7">
      <c r="A300" t="s">
        <v>24</v>
      </c>
      <c r="B300" s="50" t="s">
        <v>1084</v>
      </c>
      <c r="C300" t="s">
        <v>16</v>
      </c>
      <c r="D300" t="s">
        <v>23</v>
      </c>
      <c r="E300" t="s">
        <v>959</v>
      </c>
      <c r="F300">
        <f t="array" ref="F300">SUM(_xlfn.MAP(_xlfn.SEQUENCE(4),_xlfn.LAMBDA(_xlpm.i,POWER(36,4-_xlpm.i)*_xlfn.MAP(MID(代码表[[#This Row],[代码]],_xlpm.i,1),_xlfn.LAMBDA(_xlpm.a,IF(CODE(_xlpm.a)&gt;64,CODE(_xlpm.a)-55,CODE(_xlpm.a)-48))))))</f>
        <v>41921</v>
      </c>
      <c r="G300" s="10" t="str">
        <f t="array" ref="G300">IFERROR(INDEX(角色MOD表[],MATCH(1,(角色MOD表[名称]=A300)*(角色MOD表[品质]=E300)*IF(D300="",1,(角色MOD表[属性]="")+ISNUMBER(FIND(D300,角色MOD表[属性]))),0),2),INDEX(武器MOD表[],MATCH(1,(武器MOD表[名称]=A300)*(武器MOD表[品质]=E300)*((武器MOD表[类型]=C300)+(武器MOD表[限定]=C300)),0),2))</f>
        <v>巨鲸</v>
      </c>
    </row>
    <row r="301" spans="1:7">
      <c r="A301" t="s">
        <v>435</v>
      </c>
      <c r="B301" s="50" t="s">
        <v>1085</v>
      </c>
      <c r="C301" t="s">
        <v>16</v>
      </c>
      <c r="D301" t="s">
        <v>23</v>
      </c>
      <c r="E301" t="s">
        <v>959</v>
      </c>
      <c r="F301">
        <f t="array" ref="F301">SUM(_xlfn.MAP(_xlfn.SEQUENCE(4),_xlfn.LAMBDA(_xlpm.i,POWER(36,4-_xlpm.i)*_xlfn.MAP(MID(代码表[[#This Row],[代码]],_xlpm.i,1),_xlfn.LAMBDA(_xlpm.a,IF(CODE(_xlpm.a)&gt;64,CODE(_xlpm.a)-55,CODE(_xlpm.a)-48))))))</f>
        <v>41922</v>
      </c>
      <c r="G301" s="10" t="str">
        <f t="array" ref="G301">IFERROR(INDEX(角色MOD表[],MATCH(1,(角色MOD表[名称]=A301)*(角色MOD表[品质]=E301)*IF(D301="",1,(角色MOD表[属性]="")+ISNUMBER(FIND(D301,角色MOD表[属性]))),0),2),INDEX(武器MOD表[],MATCH(1,(武器MOD表[名称]=A301)*(武器MOD表[品质]=E301)*((武器MOD表[类型]=C301)+(武器MOD表[限定]=C301)),0),2))</f>
        <v>巨鲸</v>
      </c>
    </row>
    <row r="302" spans="1:7">
      <c r="A302" t="s">
        <v>1086</v>
      </c>
      <c r="B302" s="50" t="s">
        <v>1087</v>
      </c>
      <c r="C302" t="s">
        <v>16</v>
      </c>
      <c r="D302" t="s">
        <v>37</v>
      </c>
      <c r="E302" t="s">
        <v>959</v>
      </c>
      <c r="F302">
        <f t="array" ref="F302">SUM(_xlfn.MAP(_xlfn.SEQUENCE(4),_xlfn.LAMBDA(_xlpm.i,POWER(36,4-_xlpm.i)*_xlfn.MAP(MID(代码表[[#This Row],[代码]],_xlpm.i,1),_xlfn.LAMBDA(_xlpm.a,IF(CODE(_xlpm.a)&gt;64,CODE(_xlpm.a)-55,CODE(_xlpm.a)-48))))))</f>
        <v>41931</v>
      </c>
      <c r="G302" s="10" t="str">
        <f t="array" ref="G302">IFERROR(INDEX(角色MOD表[],MATCH(1,(角色MOD表[名称]=A302)*(角色MOD表[品质]=E302)*IF(D302="",1,(角色MOD表[属性]="")+ISNUMBER(FIND(D302,角色MOD表[属性]))),0),2),INDEX(武器MOD表[],MATCH(1,(武器MOD表[名称]=A302)*(武器MOD表[品质]=E302)*((武器MOD表[类型]=C302)+(武器MOD表[限定]=C302)),0),2))</f>
        <v>焰灵</v>
      </c>
    </row>
    <row r="303" spans="1:7">
      <c r="A303" t="s">
        <v>1088</v>
      </c>
      <c r="B303" s="50" t="s">
        <v>1089</v>
      </c>
      <c r="C303" t="s">
        <v>16</v>
      </c>
      <c r="D303" t="s">
        <v>10</v>
      </c>
      <c r="E303" t="s">
        <v>959</v>
      </c>
      <c r="F303">
        <f t="array" ref="F303">SUM(_xlfn.MAP(_xlfn.SEQUENCE(4),_xlfn.LAMBDA(_xlpm.i,POWER(36,4-_xlpm.i)*_xlfn.MAP(MID(代码表[[#This Row],[代码]],_xlpm.i,1),_xlfn.LAMBDA(_xlpm.a,IF(CODE(_xlpm.a)&gt;64,CODE(_xlpm.a)-55,CODE(_xlpm.a)-48))))))</f>
        <v>41941</v>
      </c>
      <c r="G303" s="10" t="str">
        <f t="array" ref="G303">IFERROR(INDEX(角色MOD表[],MATCH(1,(角色MOD表[名称]=A303)*(角色MOD表[品质]=E303)*IF(D303="",1,(角色MOD表[属性]="")+ISNUMBER(FIND(D303,角色MOD表[属性]))),0),2),INDEX(武器MOD表[],MATCH(1,(武器MOD表[名称]=A303)*(武器MOD表[品质]=E303)*((武器MOD表[类型]=C303)+(武器MOD表[限定]=C303)),0),2))</f>
        <v>夜使</v>
      </c>
    </row>
    <row r="304" spans="1:7">
      <c r="A304" s="55" t="s">
        <v>1090</v>
      </c>
      <c r="B304" s="51" t="s">
        <v>1091</v>
      </c>
      <c r="C304" t="s">
        <v>16</v>
      </c>
      <c r="D304" s="9" t="s">
        <v>43</v>
      </c>
      <c r="E304" t="s">
        <v>959</v>
      </c>
      <c r="F304">
        <f>SUM(_xlfn.MAP(_xlfn.SEQUENCE(4),_xlfn.LAMBDA(_xlpm.i,POWER(36,4-_xlpm.i)*_xlfn.MAP(MID(代码表[[#This Row],[代码]],_xlpm.i,1),_xlfn.LAMBDA(_xlpm.a,IF(CODE(_xlpm.a)&gt;64,CODE(_xlpm.a)-55,CODE(_xlpm.a)-48))))))</f>
        <v>41951</v>
      </c>
      <c r="G304" s="10" t="str">
        <f t="array" ref="G304">IFERROR(INDEX(角色MOD表[],MATCH(1,(角色MOD表[名称]=A304)*(角色MOD表[品质]=E304)*IF(D304="",1,(角色MOD表[属性]="")+ISNUMBER(FIND(D304,角色MOD表[属性]))),0),2),INDEX(武器MOD表[],MATCH(1,(武器MOD表[名称]=A304)*(武器MOD表[品质]=E304)*((武器MOD表[类型]=C304)+(武器MOD表[限定]=C304)),0),2))</f>
        <v>黄衣</v>
      </c>
    </row>
    <row r="305" spans="1:7">
      <c r="A305" s="56" t="s">
        <v>111</v>
      </c>
      <c r="B305" s="51" t="s">
        <v>1092</v>
      </c>
      <c r="C305" t="s">
        <v>16</v>
      </c>
      <c r="D305" s="9" t="s">
        <v>43</v>
      </c>
      <c r="E305" t="s">
        <v>959</v>
      </c>
      <c r="F305">
        <f>SUM(_xlfn.MAP(_xlfn.SEQUENCE(4),_xlfn.LAMBDA(_xlpm.i,POWER(36,4-_xlpm.i)*_xlfn.MAP(MID(代码表[[#This Row],[代码]],_xlpm.i,1),_xlfn.LAMBDA(_xlpm.a,IF(CODE(_xlpm.a)&gt;64,CODE(_xlpm.a)-55,CODE(_xlpm.a)-48))))))</f>
        <v>41952</v>
      </c>
      <c r="G305" s="10" t="str">
        <f t="array" ref="G305">IFERROR(INDEX(角色MOD表[],MATCH(1,(角色MOD表[名称]=A305)*(角色MOD表[品质]=E305)*IF(D305="",1,(角色MOD表[属性]="")+ISNUMBER(FIND(D305,角色MOD表[属性]))),0),2),INDEX(武器MOD表[],MATCH(1,(武器MOD表[名称]=A305)*(武器MOD表[品质]=E305)*((武器MOD表[类型]=C305)+(武器MOD表[限定]=C305)),0),2))</f>
        <v>黄衣</v>
      </c>
    </row>
    <row r="306" spans="1:7">
      <c r="A306" t="s">
        <v>109</v>
      </c>
      <c r="B306" s="50" t="s">
        <v>1093</v>
      </c>
      <c r="C306" t="s">
        <v>16</v>
      </c>
      <c r="D306" t="s">
        <v>72</v>
      </c>
      <c r="E306" t="s">
        <v>959</v>
      </c>
      <c r="F306">
        <f t="array" ref="F306">SUM(_xlfn.MAP(_xlfn.SEQUENCE(4),_xlfn.LAMBDA(_xlpm.i,POWER(36,4-_xlpm.i)*_xlfn.MAP(MID(代码表[[#This Row],[代码]],_xlpm.i,1),_xlfn.LAMBDA(_xlpm.a,IF(CODE(_xlpm.a)&gt;64,CODE(_xlpm.a)-55,CODE(_xlpm.a)-48))))))</f>
        <v>41961</v>
      </c>
      <c r="G306" s="10" t="str">
        <f t="array" ref="G306">IFERROR(INDEX(角色MOD表[],MATCH(1,(角色MOD表[名称]=A306)*(角色MOD表[品质]=E306)*IF(D306="",1,(角色MOD表[属性]="")+ISNUMBER(FIND(D306,角色MOD表[属性]))),0),2),INDEX(武器MOD表[],MATCH(1,(武器MOD表[名称]=A306)*(武器MOD表[品质]=E306)*((武器MOD表[类型]=C306)+(武器MOD表[限定]=C306)),0),2))</f>
        <v>金乌</v>
      </c>
    </row>
    <row r="307" spans="1:7">
      <c r="A307" t="s">
        <v>73</v>
      </c>
      <c r="B307" s="50" t="s">
        <v>1094</v>
      </c>
      <c r="C307" t="s">
        <v>16</v>
      </c>
      <c r="D307" t="s">
        <v>72</v>
      </c>
      <c r="E307" t="s">
        <v>959</v>
      </c>
      <c r="F307">
        <f t="array" ref="F307">SUM(_xlfn.MAP(_xlfn.SEQUENCE(4),_xlfn.LAMBDA(_xlpm.i,POWER(36,4-_xlpm.i)*_xlfn.MAP(MID(代码表[[#This Row],[代码]],_xlpm.i,1),_xlfn.LAMBDA(_xlpm.a,IF(CODE(_xlpm.a)&gt;64,CODE(_xlpm.a)-55,CODE(_xlpm.a)-48))))))</f>
        <v>41962</v>
      </c>
      <c r="G307" s="10" t="str">
        <f t="array" ref="G307">IFERROR(INDEX(角色MOD表[],MATCH(1,(角色MOD表[名称]=A307)*(角色MOD表[品质]=E307)*IF(D307="",1,(角色MOD表[属性]="")+ISNUMBER(FIND(D307,角色MOD表[属性]))),0),2),INDEX(武器MOD表[],MATCH(1,(武器MOD表[名称]=A307)*(武器MOD表[品质]=E307)*((武器MOD表[类型]=C307)+(武器MOD表[限定]=C307)),0),2))</f>
        <v>金乌</v>
      </c>
    </row>
    <row r="308" spans="1:7">
      <c r="A308" t="s">
        <v>713</v>
      </c>
      <c r="B308" s="50" t="s">
        <v>1095</v>
      </c>
      <c r="C308" t="s">
        <v>140</v>
      </c>
      <c r="D308"/>
      <c r="E308" t="s">
        <v>959</v>
      </c>
      <c r="F308" s="4">
        <f t="array" ref="F308">SUM(_xlfn.MAP(_xlfn.SEQUENCE(4),_xlfn.LAMBDA(_xlpm.i,POWER(36,4-_xlpm.i)*_xlfn.MAP(MID(代码表[[#This Row],[代码]],_xlpm.i,1),_xlfn.LAMBDA(_xlpm.a,IF(CODE(_xlpm.a)&gt;64,CODE(_xlpm.a)-55,CODE(_xlpm.a)-48))))))</f>
        <v>42001</v>
      </c>
      <c r="G308" s="10" t="str">
        <f t="array" ref="G308">IFERROR(INDEX(角色MOD表[],MATCH(1,(角色MOD表[名称]=A308)*(角色MOD表[品质]=E308)*IF(D308="",1,(角色MOD表[属性]="")+ISNUMBER(FIND(D308,角色MOD表[属性]))),0),2),INDEX(武器MOD表[],MATCH(1,(武器MOD表[名称]=A308)*(武器MOD表[品质]=E308)*((武器MOD表[类型]=C308)+(武器MOD表[限定]=C308)),0),2))</f>
        <v>冥犬</v>
      </c>
    </row>
    <row r="309" spans="1:7">
      <c r="A309" t="s">
        <v>177</v>
      </c>
      <c r="B309" s="50" t="s">
        <v>1096</v>
      </c>
      <c r="C309" t="s">
        <v>140</v>
      </c>
      <c r="D309"/>
      <c r="E309" t="s">
        <v>959</v>
      </c>
      <c r="F309" s="4">
        <f t="array" ref="F309">SUM(_xlfn.MAP(_xlfn.SEQUENCE(4),_xlfn.LAMBDA(_xlpm.i,POWER(36,4-_xlpm.i)*_xlfn.MAP(MID(代码表[[#This Row],[代码]],_xlpm.i,1),_xlfn.LAMBDA(_xlpm.a,IF(CODE(_xlpm.a)&gt;64,CODE(_xlpm.a)-55,CODE(_xlpm.a)-48))))))</f>
        <v>42002</v>
      </c>
      <c r="G309" s="10" t="str">
        <f t="array" ref="G309">IFERROR(INDEX(角色MOD表[],MATCH(1,(角色MOD表[名称]=A309)*(角色MOD表[品质]=E309)*IF(D309="",1,(角色MOD表[属性]="")+ISNUMBER(FIND(D309,角色MOD表[属性]))),0),2),INDEX(武器MOD表[],MATCH(1,(武器MOD表[名称]=A309)*(武器MOD表[品质]=E309)*((武器MOD表[类型]=C309)+(武器MOD表[限定]=C309)),0),2))</f>
        <v>冥犬</v>
      </c>
    </row>
    <row r="310" spans="1:7">
      <c r="A310" t="s">
        <v>154</v>
      </c>
      <c r="B310" s="50" t="s">
        <v>1097</v>
      </c>
      <c r="C310" t="s">
        <v>140</v>
      </c>
      <c r="D310"/>
      <c r="E310" t="s">
        <v>959</v>
      </c>
      <c r="F310" s="4">
        <f t="array" ref="F310">SUM(_xlfn.MAP(_xlfn.SEQUENCE(4),_xlfn.LAMBDA(_xlpm.i,POWER(36,4-_xlpm.i)*_xlfn.MAP(MID(代码表[[#This Row],[代码]],_xlpm.i,1),_xlfn.LAMBDA(_xlpm.a,IF(CODE(_xlpm.a)&gt;64,CODE(_xlpm.a)-55,CODE(_xlpm.a)-48))))))</f>
        <v>42003</v>
      </c>
      <c r="G310" s="10" t="str">
        <f t="array" ref="G310">IFERROR(INDEX(角色MOD表[],MATCH(1,(角色MOD表[名称]=A310)*(角色MOD表[品质]=E310)*IF(D310="",1,(角色MOD表[属性]="")+ISNUMBER(FIND(D310,角色MOD表[属性]))),0),2),INDEX(武器MOD表[],MATCH(1,(武器MOD表[名称]=A310)*(武器MOD表[品质]=E310)*((武器MOD表[类型]=C310)+(武器MOD表[限定]=C310)),0),2))</f>
        <v>冥犬</v>
      </c>
    </row>
    <row r="311" spans="1:7">
      <c r="A311" t="s">
        <v>154</v>
      </c>
      <c r="B311" s="50" t="s">
        <v>1097</v>
      </c>
      <c r="C311" t="s">
        <v>140</v>
      </c>
      <c r="D311"/>
      <c r="E311" t="s">
        <v>959</v>
      </c>
      <c r="F311" s="4">
        <f t="array" ref="F311">SUM(_xlfn.MAP(_xlfn.SEQUENCE(4),_xlfn.LAMBDA(_xlpm.i,POWER(36,4-_xlpm.i)*_xlfn.MAP(MID(代码表[[#This Row],[代码]],_xlpm.i,1),_xlfn.LAMBDA(_xlpm.a,IF(CODE(_xlpm.a)&gt;64,CODE(_xlpm.a)-55,CODE(_xlpm.a)-48))))))</f>
        <v>42003</v>
      </c>
      <c r="G311" s="10" t="str">
        <f t="array" ref="G311">IFERROR(INDEX(角色MOD表[],MATCH(1,(角色MOD表[名称]=A311)*(角色MOD表[品质]=E311)*IF(D311="",1,(角色MOD表[属性]="")+ISNUMBER(FIND(D311,角色MOD表[属性]))),0),2),INDEX(武器MOD表[],MATCH(1,(武器MOD表[名称]=A311)*(武器MOD表[品质]=E311)*((武器MOD表[类型]=C311)+(武器MOD表[限定]=C311)),0),2))</f>
        <v>冥犬</v>
      </c>
    </row>
    <row r="312" spans="1:7">
      <c r="A312" t="s">
        <v>717</v>
      </c>
      <c r="B312" s="50" t="s">
        <v>1098</v>
      </c>
      <c r="C312" t="s">
        <v>140</v>
      </c>
      <c r="D312"/>
      <c r="E312" t="s">
        <v>959</v>
      </c>
      <c r="F312" s="4">
        <f t="array" ref="F312">SUM(_xlfn.MAP(_xlfn.SEQUENCE(4),_xlfn.LAMBDA(_xlpm.i,POWER(36,4-_xlpm.i)*_xlfn.MAP(MID(代码表[[#This Row],[代码]],_xlpm.i,1),_xlfn.LAMBDA(_xlpm.a,IF(CODE(_xlpm.a)&gt;64,CODE(_xlpm.a)-55,CODE(_xlpm.a)-48))))))</f>
        <v>42006</v>
      </c>
      <c r="G312" s="10" t="str">
        <f t="array" ref="G312">IFERROR(INDEX(角色MOD表[],MATCH(1,(角色MOD表[名称]=A312)*(角色MOD表[品质]=E312)*IF(D312="",1,(角色MOD表[属性]="")+ISNUMBER(FIND(D312,角色MOD表[属性]))),0),2),INDEX(武器MOD表[],MATCH(1,(武器MOD表[名称]=A312)*(武器MOD表[品质]=E312)*((武器MOD表[类型]=C312)+(武器MOD表[限定]=C312)),0),2))</f>
        <v>冥犬</v>
      </c>
    </row>
    <row r="313" spans="1:7">
      <c r="A313" t="s">
        <v>1099</v>
      </c>
      <c r="B313" s="50" t="s">
        <v>1100</v>
      </c>
      <c r="C313" t="s">
        <v>140</v>
      </c>
      <c r="D313"/>
      <c r="E313" t="s">
        <v>959</v>
      </c>
      <c r="F313" s="4">
        <f t="array" ref="F313">SUM(_xlfn.MAP(_xlfn.SEQUENCE(4),_xlfn.LAMBDA(_xlpm.i,POWER(36,4-_xlpm.i)*_xlfn.MAP(MID(代码表[[#This Row],[代码]],_xlpm.i,1),_xlfn.LAMBDA(_xlpm.a,IF(CODE(_xlpm.a)&gt;64,CODE(_xlpm.a)-55,CODE(_xlpm.a)-48))))))</f>
        <v>42203</v>
      </c>
      <c r="G313" s="10" t="str">
        <f t="array" ref="G313">IFERROR(INDEX(角色MOD表[],MATCH(1,(角色MOD表[名称]=A313)*(角色MOD表[品质]=E313)*IF(D313="",1,(角色MOD表[属性]="")+ISNUMBER(FIND(D313,角色MOD表[属性]))),0),2),INDEX(武器MOD表[],MATCH(1,(武器MOD表[名称]=A313)*(武器MOD表[品质]=E313)*((武器MOD表[类型]=C313)+(武器MOD表[限定]=C313)),0),2))</f>
        <v>囚狼</v>
      </c>
    </row>
    <row r="314" spans="1:7">
      <c r="A314" t="s">
        <v>1099</v>
      </c>
      <c r="B314" s="50" t="s">
        <v>1100</v>
      </c>
      <c r="C314" t="s">
        <v>140</v>
      </c>
      <c r="D314"/>
      <c r="E314" t="s">
        <v>959</v>
      </c>
      <c r="F314" s="4">
        <f t="array" ref="F314">SUM(_xlfn.MAP(_xlfn.SEQUENCE(4),_xlfn.LAMBDA(_xlpm.i,POWER(36,4-_xlpm.i)*_xlfn.MAP(MID(代码表[[#This Row],[代码]],_xlpm.i,1),_xlfn.LAMBDA(_xlpm.a,IF(CODE(_xlpm.a)&gt;64,CODE(_xlpm.a)-55,CODE(_xlpm.a)-48))))))</f>
        <v>42203</v>
      </c>
      <c r="G314" s="10" t="str">
        <f t="array" ref="G314">IFERROR(INDEX(角色MOD表[],MATCH(1,(角色MOD表[名称]=A314)*(角色MOD表[品质]=E314)*IF(D314="",1,(角色MOD表[属性]="")+ISNUMBER(FIND(D314,角色MOD表[属性]))),0),2),INDEX(武器MOD表[],MATCH(1,(武器MOD表[名称]=A314)*(武器MOD表[品质]=E314)*((武器MOD表[类型]=C314)+(武器MOD表[限定]=C314)),0),2))</f>
        <v>囚狼</v>
      </c>
    </row>
    <row r="315" spans="1:7">
      <c r="A315" t="s">
        <v>1101</v>
      </c>
      <c r="B315" s="50" t="s">
        <v>1102</v>
      </c>
      <c r="C315" t="s">
        <v>140</v>
      </c>
      <c r="D315"/>
      <c r="E315" t="s">
        <v>959</v>
      </c>
      <c r="F315" s="4">
        <f t="array" ref="F315">SUM(_xlfn.MAP(_xlfn.SEQUENCE(4),_xlfn.LAMBDA(_xlpm.i,POWER(36,4-_xlpm.i)*_xlfn.MAP(MID(代码表[[#This Row],[代码]],_xlpm.i,1),_xlfn.LAMBDA(_xlpm.a,IF(CODE(_xlpm.a)&gt;64,CODE(_xlpm.a)-55,CODE(_xlpm.a)-48))))))</f>
        <v>42311</v>
      </c>
      <c r="G315" s="10" t="str">
        <f t="array" ref="G315">IFERROR(INDEX(角色MOD表[],MATCH(1,(角色MOD表[名称]=A315)*(角色MOD表[品质]=E315)*IF(D315="",1,(角色MOD表[属性]="")+ISNUMBER(FIND(D315,角色MOD表[属性]))),0),2),INDEX(武器MOD表[],MATCH(1,(武器MOD表[名称]=A315)*(武器MOD表[品质]=E315)*((武器MOD表[类型]=C315)+(武器MOD表[限定]=C315)),0),2))</f>
        <v>囚狼</v>
      </c>
    </row>
    <row r="316" spans="1:7">
      <c r="A316" t="s">
        <v>1103</v>
      </c>
      <c r="B316" s="50" t="s">
        <v>1104</v>
      </c>
      <c r="C316" t="s">
        <v>140</v>
      </c>
      <c r="D316"/>
      <c r="E316" t="s">
        <v>959</v>
      </c>
      <c r="F316" s="4">
        <f t="array" ref="F316">SUM(_xlfn.MAP(_xlfn.SEQUENCE(4),_xlfn.LAMBDA(_xlpm.i,POWER(36,4-_xlpm.i)*_xlfn.MAP(MID(代码表[[#This Row],[代码]],_xlpm.i,1),_xlfn.LAMBDA(_xlpm.a,IF(CODE(_xlpm.a)&gt;64,CODE(_xlpm.a)-55,CODE(_xlpm.a)-48))))))</f>
        <v>42312</v>
      </c>
      <c r="G316" s="10" t="str">
        <f t="array" ref="G316">IFERROR(INDEX(角色MOD表[],MATCH(1,(角色MOD表[名称]=A316)*(角色MOD表[品质]=E316)*IF(D316="",1,(角色MOD表[属性]="")+ISNUMBER(FIND(D316,角色MOD表[属性]))),0),2),INDEX(武器MOD表[],MATCH(1,(武器MOD表[名称]=A316)*(武器MOD表[品质]=E316)*((武器MOD表[类型]=C316)+(武器MOD表[限定]=C316)),0),2))</f>
        <v>囚狼</v>
      </c>
    </row>
    <row r="317" spans="1:7">
      <c r="A317" t="s">
        <v>1105</v>
      </c>
      <c r="B317" s="50" t="s">
        <v>1106</v>
      </c>
      <c r="C317" t="s">
        <v>140</v>
      </c>
      <c r="D317"/>
      <c r="E317" t="s">
        <v>959</v>
      </c>
      <c r="F317" s="4">
        <f t="array" ref="F317">SUM(_xlfn.MAP(_xlfn.SEQUENCE(4),_xlfn.LAMBDA(_xlpm.i,POWER(36,4-_xlpm.i)*_xlfn.MAP(MID(代码表[[#This Row],[代码]],_xlpm.i,1),_xlfn.LAMBDA(_xlpm.a,IF(CODE(_xlpm.a)&gt;64,CODE(_xlpm.a)-55,CODE(_xlpm.a)-48))))))</f>
        <v>42321</v>
      </c>
      <c r="G317" s="10" t="str">
        <f t="array" ref="G317">IFERROR(INDEX(角色MOD表[],MATCH(1,(角色MOD表[名称]=A317)*(角色MOD表[品质]=E317)*IF(D317="",1,(角色MOD表[属性]="")+ISNUMBER(FIND(D317,角色MOD表[属性]))),0),2),INDEX(武器MOD表[],MATCH(1,(武器MOD表[名称]=A317)*(武器MOD表[品质]=E317)*((武器MOD表[类型]=C317)+(武器MOD表[限定]=C317)),0),2))</f>
        <v>囚狼</v>
      </c>
    </row>
    <row r="318" spans="1:7">
      <c r="A318" t="s">
        <v>1107</v>
      </c>
      <c r="B318" s="50" t="s">
        <v>1108</v>
      </c>
      <c r="C318" t="s">
        <v>140</v>
      </c>
      <c r="D318"/>
      <c r="E318" t="s">
        <v>959</v>
      </c>
      <c r="F318" s="4">
        <f t="array" ref="F318">SUM(_xlfn.MAP(_xlfn.SEQUENCE(4),_xlfn.LAMBDA(_xlpm.i,POWER(36,4-_xlpm.i)*_xlfn.MAP(MID(代码表[[#This Row],[代码]],_xlpm.i,1),_xlfn.LAMBDA(_xlpm.a,IF(CODE(_xlpm.a)&gt;64,CODE(_xlpm.a)-55,CODE(_xlpm.a)-48))))))</f>
        <v>42322</v>
      </c>
      <c r="G318" s="10" t="str">
        <f t="array" ref="G318">IFERROR(INDEX(角色MOD表[],MATCH(1,(角色MOD表[名称]=A318)*(角色MOD表[品质]=E318)*IF(D318="",1,(角色MOD表[属性]="")+ISNUMBER(FIND(D318,角色MOD表[属性]))),0),2),INDEX(武器MOD表[],MATCH(1,(武器MOD表[名称]=A318)*(武器MOD表[品质]=E318)*((武器MOD表[类型]=C318)+(武器MOD表[限定]=C318)),0),2))</f>
        <v>囚狼</v>
      </c>
    </row>
    <row r="319" spans="1:7">
      <c r="A319" t="s">
        <v>1109</v>
      </c>
      <c r="B319" s="50" t="s">
        <v>1110</v>
      </c>
      <c r="C319" t="s">
        <v>140</v>
      </c>
      <c r="E319" t="s">
        <v>959</v>
      </c>
      <c r="F319" s="4">
        <f>SUM(_xlfn.MAP(_xlfn.SEQUENCE(4),_xlfn.LAMBDA(_xlpm.i,POWER(36,4-_xlpm.i)*_xlfn.MAP(MID(代码表[[#This Row],[代码]],_xlpm.i,1),_xlfn.LAMBDA(_xlpm.a,IF(CODE(_xlpm.a)&gt;64,CODE(_xlpm.a)-55,CODE(_xlpm.a)-48))))))</f>
        <v>42401</v>
      </c>
      <c r="G319" s="10" t="str">
        <f t="array" ref="G319">IFERROR(INDEX(角色MOD表[],MATCH(1,(角色MOD表[名称]=A319)*(角色MOD表[品质]=E319)*IF(D319="",1,(角色MOD表[属性]="")+ISNUMBER(FIND(D319,角色MOD表[属性]))),0),2),INDEX(武器MOD表[],MATCH(1,(武器MOD表[名称]=A319)*(武器MOD表[品质]=E319)*((武器MOD表[类型]=C319)+(武器MOD表[限定]=C319)),0),2))</f>
        <v>囚狼</v>
      </c>
    </row>
    <row r="320" spans="1:7">
      <c r="A320" t="s">
        <v>1111</v>
      </c>
      <c r="B320" s="50" t="s">
        <v>1112</v>
      </c>
      <c r="C320" t="s">
        <v>140</v>
      </c>
      <c r="E320" t="s">
        <v>959</v>
      </c>
      <c r="F320" s="4">
        <f>SUM(_xlfn.MAP(_xlfn.SEQUENCE(4),_xlfn.LAMBDA(_xlpm.i,POWER(36,4-_xlpm.i)*_xlfn.MAP(MID(代码表[[#This Row],[代码]],_xlpm.i,1),_xlfn.LAMBDA(_xlpm.a,IF(CODE(_xlpm.a)&gt;64,CODE(_xlpm.a)-55,CODE(_xlpm.a)-48))))))</f>
        <v>42403</v>
      </c>
      <c r="G320" s="10" t="str">
        <f t="array" ref="G320">IFERROR(INDEX(角色MOD表[],MATCH(1,(角色MOD表[名称]=A320)*(角色MOD表[品质]=E320)*IF(D320="",1,(角色MOD表[属性]="")+ISNUMBER(FIND(D320,角色MOD表[属性]))),0),2),INDEX(武器MOD表[],MATCH(1,(武器MOD表[名称]=A320)*(武器MOD表[品质]=E320)*((武器MOD表[类型]=C320)+(武器MOD表[限定]=C320)),0),2))</f>
        <v>囚狼</v>
      </c>
    </row>
    <row r="321" spans="1:7">
      <c r="A321" t="s">
        <v>1113</v>
      </c>
      <c r="B321" s="50" t="s">
        <v>1114</v>
      </c>
      <c r="C321" t="s">
        <v>140</v>
      </c>
      <c r="D321"/>
      <c r="E321" t="s">
        <v>959</v>
      </c>
      <c r="F321" s="4">
        <f t="array" ref="F321">SUM(_xlfn.MAP(_xlfn.SEQUENCE(4),_xlfn.LAMBDA(_xlpm.i,POWER(36,4-_xlpm.i)*_xlfn.MAP(MID(代码表[[#This Row],[代码]],_xlpm.i,1),_xlfn.LAMBDA(_xlpm.a,IF(CODE(_xlpm.a)&gt;64,CODE(_xlpm.a)-55,CODE(_xlpm.a)-48))))))</f>
        <v>42411</v>
      </c>
      <c r="G321" s="10" t="str">
        <f t="array" ref="G321">IFERROR(INDEX(角色MOD表[],MATCH(1,(角色MOD表[名称]=A321)*(角色MOD表[品质]=E321)*IF(D321="",1,(角色MOD表[属性]="")+ISNUMBER(FIND(D321,角色MOD表[属性]))),0),2),INDEX(武器MOD表[],MATCH(1,(武器MOD表[名称]=A321)*(武器MOD表[品质]=E321)*((武器MOD表[类型]=C321)+(武器MOD表[限定]=C321)),0),2))</f>
        <v>囚狼</v>
      </c>
    </row>
    <row r="322" spans="1:7">
      <c r="A322" t="s">
        <v>1115</v>
      </c>
      <c r="B322" s="50" t="s">
        <v>1116</v>
      </c>
      <c r="C322" t="s">
        <v>140</v>
      </c>
      <c r="D322"/>
      <c r="E322" t="s">
        <v>959</v>
      </c>
      <c r="F322" s="4">
        <f t="array" ref="F322">SUM(_xlfn.MAP(_xlfn.SEQUENCE(4),_xlfn.LAMBDA(_xlpm.i,POWER(36,4-_xlpm.i)*_xlfn.MAP(MID(代码表[[#This Row],[代码]],_xlpm.i,1),_xlfn.LAMBDA(_xlpm.a,IF(CODE(_xlpm.a)&gt;64,CODE(_xlpm.a)-55,CODE(_xlpm.a)-48))))))</f>
        <v>42412</v>
      </c>
      <c r="G322" s="10" t="str">
        <f t="array" ref="G322">IFERROR(INDEX(角色MOD表[],MATCH(1,(角色MOD表[名称]=A322)*(角色MOD表[品质]=E322)*IF(D322="",1,(角色MOD表[属性]="")+ISNUMBER(FIND(D322,角色MOD表[属性]))),0),2),INDEX(武器MOD表[],MATCH(1,(武器MOD表[名称]=A322)*(武器MOD表[品质]=E322)*((武器MOD表[类型]=C322)+(武器MOD表[限定]=C322)),0),2))</f>
        <v>囚狼</v>
      </c>
    </row>
    <row r="323" spans="1:7">
      <c r="A323" t="s">
        <v>1117</v>
      </c>
      <c r="B323" s="50" t="s">
        <v>1118</v>
      </c>
      <c r="C323" t="s">
        <v>140</v>
      </c>
      <c r="D323"/>
      <c r="E323" t="s">
        <v>959</v>
      </c>
      <c r="F323" s="4">
        <f t="array" ref="F323">SUM(_xlfn.MAP(_xlfn.SEQUENCE(4),_xlfn.LAMBDA(_xlpm.i,POWER(36,4-_xlpm.i)*_xlfn.MAP(MID(代码表[[#This Row],[代码]],_xlpm.i,1),_xlfn.LAMBDA(_xlpm.a,IF(CODE(_xlpm.a)&gt;64,CODE(_xlpm.a)-55,CODE(_xlpm.a)-48))))))</f>
        <v>42413</v>
      </c>
      <c r="G323" s="10" t="str">
        <f t="array" ref="G323">IFERROR(INDEX(角色MOD表[],MATCH(1,(角色MOD表[名称]=A323)*(角色MOD表[品质]=E323)*IF(D323="",1,(角色MOD表[属性]="")+ISNUMBER(FIND(D323,角色MOD表[属性]))),0),2),INDEX(武器MOD表[],MATCH(1,(武器MOD表[名称]=A323)*(武器MOD表[品质]=E323)*((武器MOD表[类型]=C323)+(武器MOD表[限定]=C323)),0),2))</f>
        <v>囚狼</v>
      </c>
    </row>
    <row r="324" spans="1:7">
      <c r="A324" t="s">
        <v>1119</v>
      </c>
      <c r="B324" s="50" t="s">
        <v>1120</v>
      </c>
      <c r="C324" t="s">
        <v>140</v>
      </c>
      <c r="D324"/>
      <c r="E324" t="s">
        <v>959</v>
      </c>
      <c r="F324" s="4">
        <f t="array" ref="F324">SUM(_xlfn.MAP(_xlfn.SEQUENCE(4),_xlfn.LAMBDA(_xlpm.i,POWER(36,4-_xlpm.i)*_xlfn.MAP(MID(代码表[[#This Row],[代码]],_xlpm.i,1),_xlfn.LAMBDA(_xlpm.a,IF(CODE(_xlpm.a)&gt;64,CODE(_xlpm.a)-55,CODE(_xlpm.a)-48))))))</f>
        <v>42421</v>
      </c>
      <c r="G324" s="10" t="str">
        <f t="array" ref="G324">IFERROR(INDEX(角色MOD表[],MATCH(1,(角色MOD表[名称]=A324)*(角色MOD表[品质]=E324)*IF(D324="",1,(角色MOD表[属性]="")+ISNUMBER(FIND(D324,角色MOD表[属性]))),0),2),INDEX(武器MOD表[],MATCH(1,(武器MOD表[名称]=A324)*(武器MOD表[品质]=E324)*((武器MOD表[类型]=C324)+(武器MOD表[限定]=C324)),0),2))</f>
        <v>囚狼</v>
      </c>
    </row>
    <row r="325" spans="1:7">
      <c r="A325" t="s">
        <v>1121</v>
      </c>
      <c r="B325" s="50" t="s">
        <v>1122</v>
      </c>
      <c r="C325" t="s">
        <v>140</v>
      </c>
      <c r="D325"/>
      <c r="E325" t="s">
        <v>959</v>
      </c>
      <c r="F325" s="4">
        <f t="array" ref="F325">SUM(_xlfn.MAP(_xlfn.SEQUENCE(4),_xlfn.LAMBDA(_xlpm.i,POWER(36,4-_xlpm.i)*_xlfn.MAP(MID(代码表[[#This Row],[代码]],_xlpm.i,1),_xlfn.LAMBDA(_xlpm.a,IF(CODE(_xlpm.a)&gt;64,CODE(_xlpm.a)-55,CODE(_xlpm.a)-48))))))</f>
        <v>42501</v>
      </c>
      <c r="G325" s="10" t="str">
        <f t="array" ref="G325">IFERROR(INDEX(角色MOD表[],MATCH(1,(角色MOD表[名称]=A325)*(角色MOD表[品质]=E325)*IF(D325="",1,(角色MOD表[属性]="")+ISNUMBER(FIND(D325,角色MOD表[属性]))),0),2),INDEX(武器MOD表[],MATCH(1,(武器MOD表[名称]=A325)*(武器MOD表[品质]=E325)*((武器MOD表[类型]=C325)+(武器MOD表[限定]=C325)),0),2))</f>
        <v>囚狼</v>
      </c>
    </row>
    <row r="326" spans="1:7">
      <c r="A326" t="s">
        <v>1123</v>
      </c>
      <c r="B326" s="50" t="s">
        <v>1124</v>
      </c>
      <c r="C326" t="s">
        <v>140</v>
      </c>
      <c r="E326" t="s">
        <v>959</v>
      </c>
      <c r="F326" s="4">
        <f t="array" ref="F326">SUM(_xlfn.MAP(_xlfn.SEQUENCE(4),_xlfn.LAMBDA(_xlpm.i,POWER(36,4-_xlpm.i)*_xlfn.MAP(MID(代码表[[#This Row],[代码]],_xlpm.i,1),_xlfn.LAMBDA(_xlpm.a,IF(CODE(_xlpm.a)&gt;64,CODE(_xlpm.a)-55,CODE(_xlpm.a)-48))))))</f>
        <v>42502</v>
      </c>
      <c r="G326" s="10" t="str">
        <f t="array" ref="G326">IFERROR(INDEX(角色MOD表[],MATCH(1,(角色MOD表[名称]=A326)*(角色MOD表[品质]=E326)*IF(D326="",1,(角色MOD表[属性]="")+ISNUMBER(FIND(D326,角色MOD表[属性]))),0),2),INDEX(武器MOD表[],MATCH(1,(武器MOD表[名称]=A326)*(武器MOD表[品质]=E326)*((武器MOD表[类型]=C326)+(武器MOD表[限定]=C326)),0),2))</f>
        <v>囚狼</v>
      </c>
    </row>
    <row r="327" spans="1:7">
      <c r="A327" t="s">
        <v>1125</v>
      </c>
      <c r="B327" s="50" t="s">
        <v>1126</v>
      </c>
      <c r="C327" t="s">
        <v>140</v>
      </c>
      <c r="D327"/>
      <c r="E327" t="s">
        <v>959</v>
      </c>
      <c r="F327" s="4">
        <f t="array" ref="F327">SUM(_xlfn.MAP(_xlfn.SEQUENCE(4),_xlfn.LAMBDA(_xlpm.i,POWER(36,4-_xlpm.i)*_xlfn.MAP(MID(代码表[[#This Row],[代码]],_xlpm.i,1),_xlfn.LAMBDA(_xlpm.a,IF(CODE(_xlpm.a)&gt;64,CODE(_xlpm.a)-55,CODE(_xlpm.a)-48))))))</f>
        <v>42503</v>
      </c>
      <c r="G327" s="10" t="str">
        <f t="array" ref="G327">IFERROR(INDEX(角色MOD表[],MATCH(1,(角色MOD表[名称]=A327)*(角色MOD表[品质]=E327)*IF(D327="",1,(角色MOD表[属性]="")+ISNUMBER(FIND(D327,角色MOD表[属性]))),0),2),INDEX(武器MOD表[],MATCH(1,(武器MOD表[名称]=A327)*(武器MOD表[品质]=E327)*((武器MOD表[类型]=C327)+(武器MOD表[限定]=C327)),0),2))</f>
        <v>囚狼</v>
      </c>
    </row>
    <row r="328" spans="1:7">
      <c r="A328" t="s">
        <v>1127</v>
      </c>
      <c r="B328" s="50" t="s">
        <v>1128</v>
      </c>
      <c r="C328" t="s">
        <v>140</v>
      </c>
      <c r="D328"/>
      <c r="E328" t="s">
        <v>959</v>
      </c>
      <c r="F328" s="4">
        <f t="array" ref="F328">SUM(_xlfn.MAP(_xlfn.SEQUENCE(4),_xlfn.LAMBDA(_xlpm.i,POWER(36,4-_xlpm.i)*_xlfn.MAP(MID(代码表[[#This Row],[代码]],_xlpm.i,1),_xlfn.LAMBDA(_xlpm.a,IF(CODE(_xlpm.a)&gt;64,CODE(_xlpm.a)-55,CODE(_xlpm.a)-48))))))</f>
        <v>42504</v>
      </c>
      <c r="G328" s="10" t="str">
        <f t="array" ref="G328">IFERROR(INDEX(角色MOD表[],MATCH(1,(角色MOD表[名称]=A328)*(角色MOD表[品质]=E328)*IF(D328="",1,(角色MOD表[属性]="")+ISNUMBER(FIND(D328,角色MOD表[属性]))),0),2),INDEX(武器MOD表[],MATCH(1,(武器MOD表[名称]=A328)*(武器MOD表[品质]=E328)*((武器MOD表[类型]=C328)+(武器MOD表[限定]=C328)),0),2))</f>
        <v>囚狼</v>
      </c>
    </row>
    <row r="329" spans="1:7">
      <c r="A329" t="s">
        <v>1129</v>
      </c>
      <c r="B329" s="50" t="s">
        <v>1130</v>
      </c>
      <c r="C329" t="s">
        <v>140</v>
      </c>
      <c r="E329" t="s">
        <v>959</v>
      </c>
      <c r="F329" s="4">
        <f t="array" ref="F329">SUM(_xlfn.MAP(_xlfn.SEQUENCE(4),_xlfn.LAMBDA(_xlpm.i,POWER(36,4-_xlpm.i)*_xlfn.MAP(MID(代码表[[#This Row],[代码]],_xlpm.i,1),_xlfn.LAMBDA(_xlpm.a,IF(CODE(_xlpm.a)&gt;64,CODE(_xlpm.a)-55,CODE(_xlpm.a)-48))))))</f>
        <v>42511</v>
      </c>
      <c r="G329" s="10" t="str">
        <f t="array" ref="G329">IFERROR(INDEX(角色MOD表[],MATCH(1,(角色MOD表[名称]=A329)*(角色MOD表[品质]=E329)*IF(D329="",1,(角色MOD表[属性]="")+ISNUMBER(FIND(D329,角色MOD表[属性]))),0),2),INDEX(武器MOD表[],MATCH(1,(武器MOD表[名称]=A329)*(武器MOD表[品质]=E329)*((武器MOD表[类型]=C329)+(武器MOD表[限定]=C329)),0),2))</f>
        <v>囚狼</v>
      </c>
    </row>
    <row r="330" spans="1:7">
      <c r="A330" t="s">
        <v>1131</v>
      </c>
      <c r="B330" s="50" t="s">
        <v>1132</v>
      </c>
      <c r="C330" t="s">
        <v>140</v>
      </c>
      <c r="D330"/>
      <c r="E330" t="s">
        <v>959</v>
      </c>
      <c r="F330" s="4">
        <f t="array" ref="F330">SUM(_xlfn.MAP(_xlfn.SEQUENCE(4),_xlfn.LAMBDA(_xlpm.i,POWER(36,4-_xlpm.i)*_xlfn.MAP(MID(代码表[[#This Row],[代码]],_xlpm.i,1),_xlfn.LAMBDA(_xlpm.a,IF(CODE(_xlpm.a)&gt;64,CODE(_xlpm.a)-55,CODE(_xlpm.a)-48))))))</f>
        <v>42512</v>
      </c>
      <c r="G330" s="10" t="str">
        <f t="array" ref="G330">IFERROR(INDEX(角色MOD表[],MATCH(1,(角色MOD表[名称]=A330)*(角色MOD表[品质]=E330)*IF(D330="",1,(角色MOD表[属性]="")+ISNUMBER(FIND(D330,角色MOD表[属性]))),0),2),INDEX(武器MOD表[],MATCH(1,(武器MOD表[名称]=A330)*(武器MOD表[品质]=E330)*((武器MOD表[类型]=C330)+(武器MOD表[限定]=C330)),0),2))</f>
        <v>囚狼</v>
      </c>
    </row>
    <row r="331" spans="1:7">
      <c r="A331" t="s">
        <v>713</v>
      </c>
      <c r="B331" s="50" t="s">
        <v>1133</v>
      </c>
      <c r="C331" t="s">
        <v>170</v>
      </c>
      <c r="D331"/>
      <c r="E331" t="s">
        <v>959</v>
      </c>
      <c r="F331" s="4">
        <f t="array" ref="F331">SUM(_xlfn.MAP(_xlfn.SEQUENCE(4),_xlfn.LAMBDA(_xlpm.i,POWER(36,4-_xlpm.i)*_xlfn.MAP(MID(代码表[[#This Row],[代码]],_xlpm.i,1),_xlfn.LAMBDA(_xlpm.a,IF(CODE(_xlpm.a)&gt;64,CODE(_xlpm.a)-55,CODE(_xlpm.a)-48))))))</f>
        <v>43001</v>
      </c>
      <c r="G331" s="10" t="str">
        <f t="array" ref="G331">IFERROR(INDEX(角色MOD表[],MATCH(1,(角色MOD表[名称]=A331)*(角色MOD表[品质]=E331)*IF(D331="",1,(角色MOD表[属性]="")+ISNUMBER(FIND(D331,角色MOD表[属性]))),0),2),INDEX(武器MOD表[],MATCH(1,(武器MOD表[名称]=A331)*(武器MOD表[品质]=E331)*((武器MOD表[类型]=C331)+(武器MOD表[限定]=C331)),0),2))</f>
        <v>夜魔</v>
      </c>
    </row>
    <row r="332" spans="1:7">
      <c r="A332" t="s">
        <v>177</v>
      </c>
      <c r="B332" s="50" t="s">
        <v>1134</v>
      </c>
      <c r="C332" t="s">
        <v>170</v>
      </c>
      <c r="D332"/>
      <c r="E332" t="s">
        <v>959</v>
      </c>
      <c r="F332" s="4">
        <f t="array" ref="F332">SUM(_xlfn.MAP(_xlfn.SEQUENCE(4),_xlfn.LAMBDA(_xlpm.i,POWER(36,4-_xlpm.i)*_xlfn.MAP(MID(代码表[[#This Row],[代码]],_xlpm.i,1),_xlfn.LAMBDA(_xlpm.a,IF(CODE(_xlpm.a)&gt;64,CODE(_xlpm.a)-55,CODE(_xlpm.a)-48))))))</f>
        <v>43002</v>
      </c>
      <c r="G332" s="10" t="str">
        <f t="array" ref="G332">IFERROR(INDEX(角色MOD表[],MATCH(1,(角色MOD表[名称]=A332)*(角色MOD表[品质]=E332)*IF(D332="",1,(角色MOD表[属性]="")+ISNUMBER(FIND(D332,角色MOD表[属性]))),0),2),INDEX(武器MOD表[],MATCH(1,(武器MOD表[名称]=A332)*(武器MOD表[品质]=E332)*((武器MOD表[类型]=C332)+(武器MOD表[限定]=C332)),0),2))</f>
        <v>夜魔</v>
      </c>
    </row>
    <row r="333" spans="1:7">
      <c r="A333" t="s">
        <v>154</v>
      </c>
      <c r="B333" s="50" t="s">
        <v>1135</v>
      </c>
      <c r="C333" t="s">
        <v>170</v>
      </c>
      <c r="D333"/>
      <c r="E333" t="s">
        <v>959</v>
      </c>
      <c r="F333" s="4">
        <f t="array" ref="F333">SUM(_xlfn.MAP(_xlfn.SEQUENCE(4),_xlfn.LAMBDA(_xlpm.i,POWER(36,4-_xlpm.i)*_xlfn.MAP(MID(代码表[[#This Row],[代码]],_xlpm.i,1),_xlfn.LAMBDA(_xlpm.a,IF(CODE(_xlpm.a)&gt;64,CODE(_xlpm.a)-55,CODE(_xlpm.a)-48))))))</f>
        <v>43003</v>
      </c>
      <c r="G333" s="10" t="str">
        <f t="array" ref="G333">IFERROR(INDEX(角色MOD表[],MATCH(1,(角色MOD表[名称]=A333)*(角色MOD表[品质]=E333)*IF(D333="",1,(角色MOD表[属性]="")+ISNUMBER(FIND(D333,角色MOD表[属性]))),0),2),INDEX(武器MOD表[],MATCH(1,(武器MOD表[名称]=A333)*(武器MOD表[品质]=E333)*((武器MOD表[类型]=C333)+(武器MOD表[限定]=C333)),0),2))</f>
        <v>夜魔</v>
      </c>
    </row>
    <row r="334" spans="1:7">
      <c r="A334" t="s">
        <v>717</v>
      </c>
      <c r="B334" s="50" t="s">
        <v>1136</v>
      </c>
      <c r="C334" t="s">
        <v>170</v>
      </c>
      <c r="D334"/>
      <c r="E334" t="s">
        <v>959</v>
      </c>
      <c r="F334" s="4">
        <f t="array" ref="F334">SUM(_xlfn.MAP(_xlfn.SEQUENCE(4),_xlfn.LAMBDA(_xlpm.i,POWER(36,4-_xlpm.i)*_xlfn.MAP(MID(代码表[[#This Row],[代码]],_xlpm.i,1),_xlfn.LAMBDA(_xlpm.a,IF(CODE(_xlpm.a)&gt;64,CODE(_xlpm.a)-55,CODE(_xlpm.a)-48))))))</f>
        <v>43006</v>
      </c>
      <c r="G334" s="10" t="str">
        <f t="array" ref="G334">IFERROR(INDEX(角色MOD表[],MATCH(1,(角色MOD表[名称]=A334)*(角色MOD表[品质]=E334)*IF(D334="",1,(角色MOD表[属性]="")+ISNUMBER(FIND(D334,角色MOD表[属性]))),0),2),INDEX(武器MOD表[],MATCH(1,(武器MOD表[名称]=A334)*(武器MOD表[品质]=E334)*((武器MOD表[类型]=C334)+(武器MOD表[限定]=C334)),0),2))</f>
        <v>夜魔</v>
      </c>
    </row>
    <row r="335" spans="1:7">
      <c r="A335" t="s">
        <v>792</v>
      </c>
      <c r="B335" s="50" t="s">
        <v>1137</v>
      </c>
      <c r="C335" t="s">
        <v>170</v>
      </c>
      <c r="D335"/>
      <c r="E335" t="s">
        <v>959</v>
      </c>
      <c r="F335" s="4">
        <f t="array" ref="F335">SUM(_xlfn.MAP(_xlfn.SEQUENCE(4),_xlfn.LAMBDA(_xlpm.i,POWER(36,4-_xlpm.i)*_xlfn.MAP(MID(代码表[[#This Row],[代码]],_xlpm.i,1),_xlfn.LAMBDA(_xlpm.a,IF(CODE(_xlpm.a)&gt;64,CODE(_xlpm.a)-55,CODE(_xlpm.a)-48))))))</f>
        <v>43008</v>
      </c>
      <c r="G335" s="10" t="str">
        <f t="array" ref="G335">IFERROR(INDEX(角色MOD表[],MATCH(1,(角色MOD表[名称]=A335)*(角色MOD表[品质]=E335)*IF(D335="",1,(角色MOD表[属性]="")+ISNUMBER(FIND(D335,角色MOD表[属性]))),0),2),INDEX(武器MOD表[],MATCH(1,(武器MOD表[名称]=A335)*(武器MOD表[品质]=E335)*((武器MOD表[类型]=C335)+(武器MOD表[限定]=C335)),0),2))</f>
        <v>夜魔</v>
      </c>
    </row>
    <row r="336" spans="1:10">
      <c r="A336" t="s">
        <v>1138</v>
      </c>
      <c r="B336" s="50" t="s">
        <v>1139</v>
      </c>
      <c r="C336" t="s">
        <v>170</v>
      </c>
      <c r="D336"/>
      <c r="E336" t="s">
        <v>959</v>
      </c>
      <c r="F336" s="4">
        <f t="array" ref="F336">SUM(_xlfn.MAP(_xlfn.SEQUENCE(4),_xlfn.LAMBDA(_xlpm.i,POWER(36,4-_xlpm.i)*_xlfn.MAP(MID(代码表[[#This Row],[代码]],_xlpm.i,1),_xlfn.LAMBDA(_xlpm.a,IF(CODE(_xlpm.a)&gt;64,CODE(_xlpm.a)-55,CODE(_xlpm.a)-48))))))</f>
        <v>43123</v>
      </c>
      <c r="G336" s="10" t="str">
        <f t="array" ref="G336">IFERROR(INDEX(角色MOD表[],MATCH(1,(角色MOD表[名称]=A336)*(角色MOD表[品质]=E336)*IF(D336="",1,(角色MOD表[属性]="")+ISNUMBER(FIND(D336,角色MOD表[属性]))),0),2),INDEX(武器MOD表[],MATCH(1,(武器MOD表[名称]=A336)*(武器MOD表[品质]=E336)*((武器MOD表[类型]=C336)+(武器MOD表[限定]=C336)),0),2))</f>
        <v>夜魔</v>
      </c>
      <c r="J336" s="10"/>
    </row>
    <row r="337" spans="1:10">
      <c r="A337" t="s">
        <v>1140</v>
      </c>
      <c r="B337" s="50" t="s">
        <v>1141</v>
      </c>
      <c r="C337" t="s">
        <v>170</v>
      </c>
      <c r="D337"/>
      <c r="E337" t="s">
        <v>959</v>
      </c>
      <c r="F337" s="4">
        <f t="array" ref="F337">SUM(_xlfn.MAP(_xlfn.SEQUENCE(4),_xlfn.LAMBDA(_xlpm.i,POWER(36,4-_xlpm.i)*_xlfn.MAP(MID(代码表[[#This Row],[代码]],_xlpm.i,1),_xlfn.LAMBDA(_xlpm.a,IF(CODE(_xlpm.a)&gt;64,CODE(_xlpm.a)-55,CODE(_xlpm.a)-48))))))</f>
        <v>43301</v>
      </c>
      <c r="G337" s="10" t="str">
        <f t="array" ref="G337">IFERROR(INDEX(角色MOD表[],MATCH(1,(角色MOD表[名称]=A337)*(角色MOD表[品质]=E337)*IF(D337="",1,(角色MOD表[属性]="")+ISNUMBER(FIND(D337,角色MOD表[属性]))),0),2),INDEX(武器MOD表[],MATCH(1,(武器MOD表[名称]=A337)*(武器MOD表[品质]=E337)*((武器MOD表[类型]=C337)+(武器MOD表[限定]=C337)),0),2))</f>
        <v>邪龙</v>
      </c>
      <c r="J337" s="10"/>
    </row>
    <row r="338" spans="1:10">
      <c r="A338" t="s">
        <v>1142</v>
      </c>
      <c r="B338" s="50" t="s">
        <v>1143</v>
      </c>
      <c r="C338" t="s">
        <v>170</v>
      </c>
      <c r="D338"/>
      <c r="E338" t="s">
        <v>959</v>
      </c>
      <c r="F338" s="4">
        <f t="array" ref="F338">SUM(_xlfn.MAP(_xlfn.SEQUENCE(4),_xlfn.LAMBDA(_xlpm.i,POWER(36,4-_xlpm.i)*_xlfn.MAP(MID(代码表[[#This Row],[代码]],_xlpm.i,1),_xlfn.LAMBDA(_xlpm.a,IF(CODE(_xlpm.a)&gt;64,CODE(_xlpm.a)-55,CODE(_xlpm.a)-48))))))</f>
        <v>43341</v>
      </c>
      <c r="G338" s="10" t="str">
        <f t="array" ref="G338">IFERROR(INDEX(角色MOD表[],MATCH(1,(角色MOD表[名称]=A338)*(角色MOD表[品质]=E338)*IF(D338="",1,(角色MOD表[属性]="")+ISNUMBER(FIND(D338,角色MOD表[属性]))),0),2),INDEX(武器MOD表[],MATCH(1,(武器MOD表[名称]=A338)*(武器MOD表[品质]=E338)*((武器MOD表[类型]=C338)+(武器MOD表[限定]=C338)),0),2))</f>
        <v>邪龙</v>
      </c>
      <c r="J338" s="10"/>
    </row>
    <row r="339" spans="1:7">
      <c r="A339" t="s">
        <v>1144</v>
      </c>
      <c r="B339" s="50" t="s">
        <v>1145</v>
      </c>
      <c r="C339" t="s">
        <v>170</v>
      </c>
      <c r="E339" t="s">
        <v>959</v>
      </c>
      <c r="F339" s="4">
        <f>SUM(_xlfn.MAP(_xlfn.SEQUENCE(4),_xlfn.LAMBDA(_xlpm.i,POWER(36,4-_xlpm.i)*_xlfn.MAP(MID(代码表[[#This Row],[代码]],_xlpm.i,1),_xlfn.LAMBDA(_xlpm.a,IF(CODE(_xlpm.a)&gt;64,CODE(_xlpm.a)-55,CODE(_xlpm.a)-48))))))</f>
        <v>43401</v>
      </c>
      <c r="G339" s="10" t="str">
        <f t="array" ref="G339">IFERROR(INDEX(角色MOD表[],MATCH(1,(角色MOD表[名称]=A339)*(角色MOD表[品质]=E339)*IF(D339="",1,(角色MOD表[属性]="")+ISNUMBER(FIND(D339,角色MOD表[属性]))),0),2),INDEX(武器MOD表[],MATCH(1,(武器MOD表[名称]=A339)*(武器MOD表[品质]=E339)*((武器MOD表[类型]=C339)+(武器MOD表[限定]=C339)),0),2))</f>
        <v>邪龙</v>
      </c>
    </row>
    <row r="340" spans="1:7">
      <c r="A340" t="s">
        <v>1146</v>
      </c>
      <c r="B340" s="50" t="s">
        <v>1147</v>
      </c>
      <c r="C340" t="s">
        <v>170</v>
      </c>
      <c r="E340" t="s">
        <v>959</v>
      </c>
      <c r="F340" s="4">
        <f>SUM(_xlfn.MAP(_xlfn.SEQUENCE(4),_xlfn.LAMBDA(_xlpm.i,POWER(36,4-_xlpm.i)*_xlfn.MAP(MID(代码表[[#This Row],[代码]],_xlpm.i,1),_xlfn.LAMBDA(_xlpm.a,IF(CODE(_xlpm.a)&gt;64,CODE(_xlpm.a)-55,CODE(_xlpm.a)-48))))))</f>
        <v>43402</v>
      </c>
      <c r="G340" s="10" t="str">
        <f t="array" ref="G340">IFERROR(INDEX(角色MOD表[],MATCH(1,(角色MOD表[名称]=A340)*(角色MOD表[品质]=E340)*IF(D340="",1,(角色MOD表[属性]="")+ISNUMBER(FIND(D340,角色MOD表[属性]))),0),2),INDEX(武器MOD表[],MATCH(1,(武器MOD表[名称]=A340)*(武器MOD表[品质]=E340)*((武器MOD表[类型]=C340)+(武器MOD表[限定]=C340)),0),2))</f>
        <v>邪龙</v>
      </c>
    </row>
    <row r="341" spans="1:7">
      <c r="A341" t="s">
        <v>1148</v>
      </c>
      <c r="B341" s="50" t="s">
        <v>1149</v>
      </c>
      <c r="C341" t="s">
        <v>170</v>
      </c>
      <c r="E341" t="s">
        <v>959</v>
      </c>
      <c r="F341" s="4">
        <f>SUM(_xlfn.MAP(_xlfn.SEQUENCE(4),_xlfn.LAMBDA(_xlpm.i,POWER(36,4-_xlpm.i)*_xlfn.MAP(MID(代码表[[#This Row],[代码]],_xlpm.i,1),_xlfn.LAMBDA(_xlpm.a,IF(CODE(_xlpm.a)&gt;64,CODE(_xlpm.a)-55,CODE(_xlpm.a)-48))))))</f>
        <v>43403</v>
      </c>
      <c r="G341" s="10" t="str">
        <f t="array" ref="G341">IFERROR(INDEX(角色MOD表[],MATCH(1,(角色MOD表[名称]=A341)*(角色MOD表[品质]=E341)*IF(D341="",1,(角色MOD表[属性]="")+ISNUMBER(FIND(D341,角色MOD表[属性]))),0),2),INDEX(武器MOD表[],MATCH(1,(武器MOD表[名称]=A341)*(武器MOD表[品质]=E341)*((武器MOD表[类型]=C341)+(武器MOD表[限定]=C341)),0),2))</f>
        <v>邪龙</v>
      </c>
    </row>
    <row r="342" spans="1:7">
      <c r="A342" t="s">
        <v>1150</v>
      </c>
      <c r="B342" s="50" t="s">
        <v>1151</v>
      </c>
      <c r="C342" t="s">
        <v>170</v>
      </c>
      <c r="D342"/>
      <c r="E342" t="s">
        <v>959</v>
      </c>
      <c r="F342" s="4">
        <f t="array" ref="F342">SUM(_xlfn.MAP(_xlfn.SEQUENCE(4),_xlfn.LAMBDA(_xlpm.i,POWER(36,4-_xlpm.i)*_xlfn.MAP(MID(代码表[[#This Row],[代码]],_xlpm.i,1),_xlfn.LAMBDA(_xlpm.a,IF(CODE(_xlpm.a)&gt;64,CODE(_xlpm.a)-55,CODE(_xlpm.a)-48))))))</f>
        <v>43404</v>
      </c>
      <c r="G342" s="10" t="str">
        <f t="array" ref="G342">IFERROR(INDEX(角色MOD表[],MATCH(1,(角色MOD表[名称]=A342)*(角色MOD表[品质]=E342)*IF(D342="",1,(角色MOD表[属性]="")+ISNUMBER(FIND(D342,角色MOD表[属性]))),0),2),INDEX(武器MOD表[],MATCH(1,(武器MOD表[名称]=A342)*(武器MOD表[品质]=E342)*((武器MOD表[类型]=C342)+(武器MOD表[限定]=C342)),0),2))</f>
        <v>邪龙</v>
      </c>
    </row>
    <row r="343" spans="1:7">
      <c r="A343" t="s">
        <v>1152</v>
      </c>
      <c r="B343" s="50" t="s">
        <v>1153</v>
      </c>
      <c r="C343" t="s">
        <v>170</v>
      </c>
      <c r="D343"/>
      <c r="E343" t="s">
        <v>959</v>
      </c>
      <c r="F343" s="4">
        <f t="array" ref="F343">SUM(_xlfn.MAP(_xlfn.SEQUENCE(4),_xlfn.LAMBDA(_xlpm.i,POWER(36,4-_xlpm.i)*_xlfn.MAP(MID(代码表[[#This Row],[代码]],_xlpm.i,1),_xlfn.LAMBDA(_xlpm.a,IF(CODE(_xlpm.a)&gt;64,CODE(_xlpm.a)-55,CODE(_xlpm.a)-48))))))</f>
        <v>43405</v>
      </c>
      <c r="G343" s="10" t="str">
        <f t="array" ref="G343">IFERROR(INDEX(角色MOD表[],MATCH(1,(角色MOD表[名称]=A343)*(角色MOD表[品质]=E343)*IF(D343="",1,(角色MOD表[属性]="")+ISNUMBER(FIND(D343,角色MOD表[属性]))),0),2),INDEX(武器MOD表[],MATCH(1,(武器MOD表[名称]=A343)*(武器MOD表[品质]=E343)*((武器MOD表[类型]=C343)+(武器MOD表[限定]=C343)),0),2))</f>
        <v>邪龙</v>
      </c>
    </row>
    <row r="344" spans="1:7">
      <c r="A344" t="s">
        <v>1121</v>
      </c>
      <c r="B344" s="50" t="s">
        <v>1154</v>
      </c>
      <c r="C344" t="s">
        <v>170</v>
      </c>
      <c r="D344"/>
      <c r="E344" t="s">
        <v>959</v>
      </c>
      <c r="F344" s="4">
        <f t="array" ref="F344">SUM(_xlfn.MAP(_xlfn.SEQUENCE(4),_xlfn.LAMBDA(_xlpm.i,POWER(36,4-_xlpm.i)*_xlfn.MAP(MID(代码表[[#This Row],[代码]],_xlpm.i,1),_xlfn.LAMBDA(_xlpm.a,IF(CODE(_xlpm.a)&gt;64,CODE(_xlpm.a)-55,CODE(_xlpm.a)-48))))))</f>
        <v>43501</v>
      </c>
      <c r="G344" s="10" t="str">
        <f t="array" ref="G344">IFERROR(INDEX(角色MOD表[],MATCH(1,(角色MOD表[名称]=A344)*(角色MOD表[品质]=E344)*IF(D344="",1,(角色MOD表[属性]="")+ISNUMBER(FIND(D344,角色MOD表[属性]))),0),2),INDEX(武器MOD表[],MATCH(1,(武器MOD表[名称]=A344)*(武器MOD表[品质]=E344)*((武器MOD表[类型]=C344)+(武器MOD表[限定]=C344)),0),2))</f>
        <v>邪龙</v>
      </c>
    </row>
    <row r="345" spans="1:7">
      <c r="A345" t="s">
        <v>1123</v>
      </c>
      <c r="B345" s="50" t="s">
        <v>1155</v>
      </c>
      <c r="C345" t="s">
        <v>170</v>
      </c>
      <c r="D345"/>
      <c r="E345" t="s">
        <v>959</v>
      </c>
      <c r="F345" s="4">
        <f t="array" ref="F345">SUM(_xlfn.MAP(_xlfn.SEQUENCE(4),_xlfn.LAMBDA(_xlpm.i,POWER(36,4-_xlpm.i)*_xlfn.MAP(MID(代码表[[#This Row],[代码]],_xlpm.i,1),_xlfn.LAMBDA(_xlpm.a,IF(CODE(_xlpm.a)&gt;64,CODE(_xlpm.a)-55,CODE(_xlpm.a)-48))))))</f>
        <v>43502</v>
      </c>
      <c r="G345" s="10" t="str">
        <f t="array" ref="G345">IFERROR(INDEX(角色MOD表[],MATCH(1,(角色MOD表[名称]=A345)*(角色MOD表[品质]=E345)*IF(D345="",1,(角色MOD表[属性]="")+ISNUMBER(FIND(D345,角色MOD表[属性]))),0),2),INDEX(武器MOD表[],MATCH(1,(武器MOD表[名称]=A345)*(武器MOD表[品质]=E345)*((武器MOD表[类型]=C345)+(武器MOD表[限定]=C345)),0),2))</f>
        <v>邪龙</v>
      </c>
    </row>
    <row r="346" spans="1:7">
      <c r="A346" t="s">
        <v>1125</v>
      </c>
      <c r="B346" s="50" t="s">
        <v>1156</v>
      </c>
      <c r="C346" t="s">
        <v>170</v>
      </c>
      <c r="D346"/>
      <c r="E346" t="s">
        <v>959</v>
      </c>
      <c r="F346" s="4">
        <f t="array" ref="F346">SUM(_xlfn.MAP(_xlfn.SEQUENCE(4),_xlfn.LAMBDA(_xlpm.i,POWER(36,4-_xlpm.i)*_xlfn.MAP(MID(代码表[[#This Row],[代码]],_xlpm.i,1),_xlfn.LAMBDA(_xlpm.a,IF(CODE(_xlpm.a)&gt;64,CODE(_xlpm.a)-55,CODE(_xlpm.a)-48))))))</f>
        <v>43503</v>
      </c>
      <c r="G346" s="10" t="str">
        <f t="array" ref="G346">IFERROR(INDEX(角色MOD表[],MATCH(1,(角色MOD表[名称]=A346)*(角色MOD表[品质]=E346)*IF(D346="",1,(角色MOD表[属性]="")+ISNUMBER(FIND(D346,角色MOD表[属性]))),0),2),INDEX(武器MOD表[],MATCH(1,(武器MOD表[名称]=A346)*(武器MOD表[品质]=E346)*((武器MOD表[类型]=C346)+(武器MOD表[限定]=C346)),0),2))</f>
        <v>邪龙</v>
      </c>
    </row>
    <row r="347" spans="1:7">
      <c r="A347" t="s">
        <v>1127</v>
      </c>
      <c r="B347" s="50" t="s">
        <v>1157</v>
      </c>
      <c r="C347" t="s">
        <v>170</v>
      </c>
      <c r="D347"/>
      <c r="E347" t="s">
        <v>959</v>
      </c>
      <c r="F347" s="4">
        <f t="array" ref="F347">SUM(_xlfn.MAP(_xlfn.SEQUENCE(4),_xlfn.LAMBDA(_xlpm.i,POWER(36,4-_xlpm.i)*_xlfn.MAP(MID(代码表[[#This Row],[代码]],_xlpm.i,1),_xlfn.LAMBDA(_xlpm.a,IF(CODE(_xlpm.a)&gt;64,CODE(_xlpm.a)-55,CODE(_xlpm.a)-48))))))</f>
        <v>43504</v>
      </c>
      <c r="G347" s="10" t="str">
        <f t="array" ref="G347">IFERROR(INDEX(角色MOD表[],MATCH(1,(角色MOD表[名称]=A347)*(角色MOD表[品质]=E347)*IF(D347="",1,(角色MOD表[属性]="")+ISNUMBER(FIND(D347,角色MOD表[属性]))),0),2),INDEX(武器MOD表[],MATCH(1,(武器MOD表[名称]=A347)*(武器MOD表[品质]=E347)*((武器MOD表[类型]=C347)+(武器MOD表[限定]=C347)),0),2))</f>
        <v>邪龙</v>
      </c>
    </row>
    <row r="348" spans="1:7">
      <c r="A348" t="s">
        <v>1129</v>
      </c>
      <c r="B348" s="50" t="s">
        <v>1158</v>
      </c>
      <c r="C348" t="s">
        <v>170</v>
      </c>
      <c r="D348"/>
      <c r="E348" t="s">
        <v>959</v>
      </c>
      <c r="F348" s="4">
        <f t="array" ref="F348">SUM(_xlfn.MAP(_xlfn.SEQUENCE(4),_xlfn.LAMBDA(_xlpm.i,POWER(36,4-_xlpm.i)*_xlfn.MAP(MID(代码表[[#This Row],[代码]],_xlpm.i,1),_xlfn.LAMBDA(_xlpm.a,IF(CODE(_xlpm.a)&gt;64,CODE(_xlpm.a)-55,CODE(_xlpm.a)-48))))))</f>
        <v>43511</v>
      </c>
      <c r="G348" s="10" t="str">
        <f t="array" ref="G348">IFERROR(INDEX(角色MOD表[],MATCH(1,(角色MOD表[名称]=A348)*(角色MOD表[品质]=E348)*IF(D348="",1,(角色MOD表[属性]="")+ISNUMBER(FIND(D348,角色MOD表[属性]))),0),2),INDEX(武器MOD表[],MATCH(1,(武器MOD表[名称]=A348)*(武器MOD表[品质]=E348)*((武器MOD表[类型]=C348)+(武器MOD表[限定]=C348)),0),2))</f>
        <v>邪龙</v>
      </c>
    </row>
    <row r="349" spans="1:7">
      <c r="A349" t="s">
        <v>1131</v>
      </c>
      <c r="B349" s="50" t="s">
        <v>1159</v>
      </c>
      <c r="C349" t="s">
        <v>170</v>
      </c>
      <c r="D349"/>
      <c r="E349" t="s">
        <v>959</v>
      </c>
      <c r="F349" s="4">
        <f t="array" ref="F349">SUM(_xlfn.MAP(_xlfn.SEQUENCE(4),_xlfn.LAMBDA(_xlpm.i,POWER(36,4-_xlpm.i)*_xlfn.MAP(MID(代码表[[#This Row],[代码]],_xlpm.i,1),_xlfn.LAMBDA(_xlpm.a,IF(CODE(_xlpm.a)&gt;64,CODE(_xlpm.a)-55,CODE(_xlpm.a)-48))))))</f>
        <v>43512</v>
      </c>
      <c r="G349" s="10" t="str">
        <f t="array" ref="G349">IFERROR(INDEX(角色MOD表[],MATCH(1,(角色MOD表[名称]=A349)*(角色MOD表[品质]=E349)*IF(D349="",1,(角色MOD表[属性]="")+ISNUMBER(FIND(D349,角色MOD表[属性]))),0),2),INDEX(武器MOD表[],MATCH(1,(武器MOD表[名称]=A349)*(武器MOD表[品质]=E349)*((武器MOD表[类型]=C349)+(武器MOD表[限定]=C349)),0),2))</f>
        <v>邪龙</v>
      </c>
    </row>
    <row r="350" spans="1:7">
      <c r="A350" t="s">
        <v>1160</v>
      </c>
      <c r="B350" s="50" t="s">
        <v>1161</v>
      </c>
      <c r="C350" t="s">
        <v>170</v>
      </c>
      <c r="D350"/>
      <c r="E350" t="s">
        <v>959</v>
      </c>
      <c r="F350" s="4">
        <f t="array" ref="F350">SUM(_xlfn.MAP(_xlfn.SEQUENCE(4),_xlfn.LAMBDA(_xlpm.i,POWER(36,4-_xlpm.i)*_xlfn.MAP(MID(代码表[[#This Row],[代码]],_xlpm.i,1),_xlfn.LAMBDA(_xlpm.a,IF(CODE(_xlpm.a)&gt;64,CODE(_xlpm.a)-55,CODE(_xlpm.a)-48))))))</f>
        <v>43601</v>
      </c>
      <c r="G350" s="10" t="str">
        <f t="array" ref="G350">IFERROR(INDEX(角色MOD表[],MATCH(1,(角色MOD表[名称]=A350)*(角色MOD表[品质]=E350)*IF(D350="",1,(角色MOD表[属性]="")+ISNUMBER(FIND(D350,角色MOD表[属性]))),0),2),INDEX(武器MOD表[],MATCH(1,(武器MOD表[名称]=A350)*(武器MOD表[品质]=E350)*((武器MOD表[类型]=C350)+(武器MOD表[限定]=C350)),0),2))</f>
        <v>夜魔</v>
      </c>
    </row>
    <row r="351" spans="1:7">
      <c r="A351" t="s">
        <v>1162</v>
      </c>
      <c r="B351" s="50" t="s">
        <v>1163</v>
      </c>
      <c r="C351" t="s">
        <v>170</v>
      </c>
      <c r="D351"/>
      <c r="E351" t="s">
        <v>959</v>
      </c>
      <c r="F351" s="4">
        <f t="array" ref="F351">SUM(_xlfn.MAP(_xlfn.SEQUENCE(4),_xlfn.LAMBDA(_xlpm.i,POWER(36,4-_xlpm.i)*_xlfn.MAP(MID(代码表[[#This Row],[代码]],_xlpm.i,1),_xlfn.LAMBDA(_xlpm.a,IF(CODE(_xlpm.a)&gt;64,CODE(_xlpm.a)-55,CODE(_xlpm.a)-48))))))</f>
        <v>43602</v>
      </c>
      <c r="G351" s="10" t="str">
        <f t="array" ref="G351">IFERROR(INDEX(角色MOD表[],MATCH(1,(角色MOD表[名称]=A351)*(角色MOD表[品质]=E351)*IF(D351="",1,(角色MOD表[属性]="")+ISNUMBER(FIND(D351,角色MOD表[属性]))),0),2),INDEX(武器MOD表[],MATCH(1,(武器MOD表[名称]=A351)*(武器MOD表[品质]=E351)*((武器MOD表[类型]=C351)+(武器MOD表[限定]=C351)),0),2))</f>
        <v>夜魔</v>
      </c>
    </row>
    <row r="352" spans="1:7">
      <c r="A352" t="s">
        <v>1164</v>
      </c>
      <c r="B352" s="50" t="s">
        <v>1165</v>
      </c>
      <c r="C352" t="s">
        <v>170</v>
      </c>
      <c r="D352"/>
      <c r="E352" t="s">
        <v>959</v>
      </c>
      <c r="F352" s="4">
        <f t="array" ref="F352">SUM(_xlfn.MAP(_xlfn.SEQUENCE(4),_xlfn.LAMBDA(_xlpm.i,POWER(36,4-_xlpm.i)*_xlfn.MAP(MID(代码表[[#This Row],[代码]],_xlpm.i,1),_xlfn.LAMBDA(_xlpm.a,IF(CODE(_xlpm.a)&gt;64,CODE(_xlpm.a)-55,CODE(_xlpm.a)-48))))))</f>
        <v>43603</v>
      </c>
      <c r="G352" s="10" t="str">
        <f t="array" ref="G352">IFERROR(INDEX(角色MOD表[],MATCH(1,(角色MOD表[名称]=A352)*(角色MOD表[品质]=E352)*IF(D352="",1,(角色MOD表[属性]="")+ISNUMBER(FIND(D352,角色MOD表[属性]))),0),2),INDEX(武器MOD表[],MATCH(1,(武器MOD表[名称]=A352)*(武器MOD表[品质]=E352)*((武器MOD表[类型]=C352)+(武器MOD表[限定]=C352)),0),2))</f>
        <v>夜魔</v>
      </c>
    </row>
    <row r="353" spans="1:7">
      <c r="A353" t="s">
        <v>1166</v>
      </c>
      <c r="B353" s="50" t="s">
        <v>1167</v>
      </c>
      <c r="C353" t="s">
        <v>170</v>
      </c>
      <c r="D353"/>
      <c r="E353" t="s">
        <v>959</v>
      </c>
      <c r="F353" s="4">
        <f t="array" ref="F353">SUM(_xlfn.MAP(_xlfn.SEQUENCE(4),_xlfn.LAMBDA(_xlpm.i,POWER(36,4-_xlpm.i)*_xlfn.MAP(MID(代码表[[#This Row],[代码]],_xlpm.i,1),_xlfn.LAMBDA(_xlpm.a,IF(CODE(_xlpm.a)&gt;64,CODE(_xlpm.a)-55,CODE(_xlpm.a)-48))))))</f>
        <v>43604</v>
      </c>
      <c r="G353" s="10" t="str">
        <f t="array" ref="G353">IFERROR(INDEX(角色MOD表[],MATCH(1,(角色MOD表[名称]=A353)*(角色MOD表[品质]=E353)*IF(D353="",1,(角色MOD表[属性]="")+ISNUMBER(FIND(D353,角色MOD表[属性]))),0),2),INDEX(武器MOD表[],MATCH(1,(武器MOD表[名称]=A353)*(武器MOD表[品质]=E353)*((武器MOD表[类型]=C353)+(武器MOD表[限定]=C353)),0),2))</f>
        <v>夜魔</v>
      </c>
    </row>
    <row r="354" spans="1:7">
      <c r="A354" t="s">
        <v>713</v>
      </c>
      <c r="B354" s="50" t="s">
        <v>1168</v>
      </c>
      <c r="C354" t="s">
        <v>732</v>
      </c>
      <c r="E354" s="9" t="s">
        <v>959</v>
      </c>
      <c r="F354" s="4">
        <f>SUM(_xlfn.MAP(_xlfn.SEQUENCE(4),_xlfn.LAMBDA(_xlpm.i,POWER(36,4-_xlpm.i)*_xlfn.MAP(MID(代码表[[#This Row],[代码]],_xlpm.i,1),_xlfn.LAMBDA(_xlpm.a,IF(CODE(_xlpm.a)&gt;64,CODE(_xlpm.a)-55,CODE(_xlpm.a)-48))))))</f>
        <v>44001</v>
      </c>
      <c r="G354" s="10" t="str">
        <f t="array" ref="G354">IFERROR(INDEX(角色MOD表[],MATCH(1,(角色MOD表[名称]=A354)*(角色MOD表[品质]=E354)*IF(D354="",1,(角色MOD表[属性]="")+ISNUMBER(FIND(D354,角色MOD表[属性]))),0),2),INDEX(武器MOD表[],MATCH(1,(武器MOD表[名称]=A354)*(武器MOD表[品质]=E354)*((武器MOD表[类型]=C354)+(武器MOD表[限定]=C354)),0),2))</f>
        <v>异化冥犬</v>
      </c>
    </row>
    <row r="355" spans="1:7">
      <c r="A355" t="s">
        <v>177</v>
      </c>
      <c r="B355" s="50" t="s">
        <v>1169</v>
      </c>
      <c r="C355" t="s">
        <v>732</v>
      </c>
      <c r="E355" s="9" t="s">
        <v>959</v>
      </c>
      <c r="F355" s="4">
        <f>SUM(_xlfn.MAP(_xlfn.SEQUENCE(4),_xlfn.LAMBDA(_xlpm.i,POWER(36,4-_xlpm.i)*_xlfn.MAP(MID(代码表[[#This Row],[代码]],_xlpm.i,1),_xlfn.LAMBDA(_xlpm.a,IF(CODE(_xlpm.a)&gt;64,CODE(_xlpm.a)-55,CODE(_xlpm.a)-48))))))</f>
        <v>44002</v>
      </c>
      <c r="G355" s="10" t="str">
        <f t="array" ref="G355">IFERROR(INDEX(角色MOD表[],MATCH(1,(角色MOD表[名称]=A355)*(角色MOD表[品质]=E355)*IF(D355="",1,(角色MOD表[属性]="")+ISNUMBER(FIND(D355,角色MOD表[属性]))),0),2),INDEX(武器MOD表[],MATCH(1,(武器MOD表[名称]=A355)*(武器MOD表[品质]=E355)*((武器MOD表[类型]=C355)+(武器MOD表[限定]=C355)),0),2))</f>
        <v>异化冥犬</v>
      </c>
    </row>
    <row r="356" spans="1:7">
      <c r="A356" t="s">
        <v>154</v>
      </c>
      <c r="B356" s="50" t="s">
        <v>1170</v>
      </c>
      <c r="C356" t="s">
        <v>732</v>
      </c>
      <c r="E356" s="9" t="s">
        <v>959</v>
      </c>
      <c r="F356" s="4">
        <f>SUM(_xlfn.MAP(_xlfn.SEQUENCE(4),_xlfn.LAMBDA(_xlpm.i,POWER(36,4-_xlpm.i)*_xlfn.MAP(MID(代码表[[#This Row],[代码]],_xlpm.i,1),_xlfn.LAMBDA(_xlpm.a,IF(CODE(_xlpm.a)&gt;64,CODE(_xlpm.a)-55,CODE(_xlpm.a)-48))))))</f>
        <v>44003</v>
      </c>
      <c r="G356" s="10" t="str">
        <f t="array" ref="G356">IFERROR(INDEX(角色MOD表[],MATCH(1,(角色MOD表[名称]=A356)*(角色MOD表[品质]=E356)*IF(D356="",1,(角色MOD表[属性]="")+ISNUMBER(FIND(D356,角色MOD表[属性]))),0),2),INDEX(武器MOD表[],MATCH(1,(武器MOD表[名称]=A356)*(武器MOD表[品质]=E356)*((武器MOD表[类型]=C356)+(武器MOD表[限定]=C356)),0),2))</f>
        <v>异化冥犬</v>
      </c>
    </row>
    <row r="357" spans="1:7">
      <c r="A357" t="s">
        <v>153</v>
      </c>
      <c r="B357" s="50" t="s">
        <v>1171</v>
      </c>
      <c r="C357" t="s">
        <v>732</v>
      </c>
      <c r="E357" s="9" t="s">
        <v>959</v>
      </c>
      <c r="F357" s="4">
        <f>SUM(_xlfn.MAP(_xlfn.SEQUENCE(4),_xlfn.LAMBDA(_xlpm.i,POWER(36,4-_xlpm.i)*_xlfn.MAP(MID(代码表[[#This Row],[代码]],_xlpm.i,1),_xlfn.LAMBDA(_xlpm.a,IF(CODE(_xlpm.a)&gt;64,CODE(_xlpm.a)-55,CODE(_xlpm.a)-48))))))</f>
        <v>44004</v>
      </c>
      <c r="G357" s="10" t="str">
        <f t="array" ref="G357">IFERROR(INDEX(角色MOD表[],MATCH(1,(角色MOD表[名称]=A357)*(角色MOD表[品质]=E357)*IF(D357="",1,(角色MOD表[属性]="")+ISNUMBER(FIND(D357,角色MOD表[属性]))),0),2),INDEX(武器MOD表[],MATCH(1,(武器MOD表[名称]=A357)*(武器MOD表[品质]=E357)*((武器MOD表[类型]=C357)+(武器MOD表[限定]=C357)),0),2))</f>
        <v>异化冥犬</v>
      </c>
    </row>
    <row r="358" spans="1:7">
      <c r="A358" t="s">
        <v>809</v>
      </c>
      <c r="B358" s="50" t="s">
        <v>1172</v>
      </c>
      <c r="C358" t="s">
        <v>732</v>
      </c>
      <c r="E358" s="9" t="s">
        <v>959</v>
      </c>
      <c r="F358" s="4">
        <f>SUM(_xlfn.MAP(_xlfn.SEQUENCE(4),_xlfn.LAMBDA(_xlpm.i,POWER(36,4-_xlpm.i)*_xlfn.MAP(MID(代码表[[#This Row],[代码]],_xlpm.i,1),_xlfn.LAMBDA(_xlpm.a,IF(CODE(_xlpm.a)&gt;64,CODE(_xlpm.a)-55,CODE(_xlpm.a)-48))))))</f>
        <v>44005</v>
      </c>
      <c r="G358" s="10" t="str">
        <f t="array" ref="G358">IFERROR(INDEX(角色MOD表[],MATCH(1,(角色MOD表[名称]=A358)*(角色MOD表[品质]=E358)*IF(D358="",1,(角色MOD表[属性]="")+ISNUMBER(FIND(D358,角色MOD表[属性]))),0),2),INDEX(武器MOD表[],MATCH(1,(武器MOD表[名称]=A358)*(武器MOD表[品质]=E358)*((武器MOD表[类型]=C358)+(武器MOD表[限定]=C358)),0),2))</f>
        <v>异化冥犬</v>
      </c>
    </row>
    <row r="359" spans="1:7">
      <c r="A359" t="s">
        <v>717</v>
      </c>
      <c r="B359" s="50" t="s">
        <v>1173</v>
      </c>
      <c r="C359" t="s">
        <v>732</v>
      </c>
      <c r="E359" s="9" t="s">
        <v>959</v>
      </c>
      <c r="F359" s="4">
        <f>SUM(_xlfn.MAP(_xlfn.SEQUENCE(4),_xlfn.LAMBDA(_xlpm.i,POWER(36,4-_xlpm.i)*_xlfn.MAP(MID(代码表[[#This Row],[代码]],_xlpm.i,1),_xlfn.LAMBDA(_xlpm.a,IF(CODE(_xlpm.a)&gt;64,CODE(_xlpm.a)-55,CODE(_xlpm.a)-48))))))</f>
        <v>44006</v>
      </c>
      <c r="G359" s="10" t="str">
        <f t="array" ref="G359">IFERROR(INDEX(角色MOD表[],MATCH(1,(角色MOD表[名称]=A359)*(角色MOD表[品质]=E359)*IF(D359="",1,(角色MOD表[属性]="")+ISNUMBER(FIND(D359,角色MOD表[属性]))),0),2),INDEX(武器MOD表[],MATCH(1,(武器MOD表[名称]=A359)*(武器MOD表[品质]=E359)*((武器MOD表[类型]=C359)+(武器MOD表[限定]=C359)),0),2))</f>
        <v>异化冥犬</v>
      </c>
    </row>
    <row r="360" spans="1:7">
      <c r="A360" t="s">
        <v>155</v>
      </c>
      <c r="B360" s="50" t="s">
        <v>1174</v>
      </c>
      <c r="C360" t="s">
        <v>732</v>
      </c>
      <c r="E360" s="9" t="s">
        <v>959</v>
      </c>
      <c r="F360" s="4">
        <f>SUM(_xlfn.MAP(_xlfn.SEQUENCE(4),_xlfn.LAMBDA(_xlpm.i,POWER(36,4-_xlpm.i)*_xlfn.MAP(MID(代码表[[#This Row],[代码]],_xlpm.i,1),_xlfn.LAMBDA(_xlpm.a,IF(CODE(_xlpm.a)&gt;64,CODE(_xlpm.a)-55,CODE(_xlpm.a)-48))))))</f>
        <v>44101</v>
      </c>
      <c r="G360" s="10" t="str">
        <f t="array" ref="G360">IFERROR(INDEX(角色MOD表[],MATCH(1,(角色MOD表[名称]=A360)*(角色MOD表[品质]=E360)*IF(D360="",1,(角色MOD表[属性]="")+ISNUMBER(FIND(D360,角色MOD表[属性]))),0),2),INDEX(武器MOD表[],MATCH(1,(武器MOD表[名称]=A360)*(武器MOD表[品质]=E360)*((武器MOD表[类型]=C360)+(武器MOD表[限定]=C360)),0),2))</f>
        <v>异化冥犬</v>
      </c>
    </row>
    <row r="361" spans="1:7">
      <c r="A361" s="9" t="s">
        <v>720</v>
      </c>
      <c r="B361" s="50" t="s">
        <v>1175</v>
      </c>
      <c r="C361" t="s">
        <v>732</v>
      </c>
      <c r="E361" s="9" t="s">
        <v>959</v>
      </c>
      <c r="F361" s="4">
        <f>SUM(_xlfn.MAP(_xlfn.SEQUENCE(4),_xlfn.LAMBDA(_xlpm.i,POWER(36,4-_xlpm.i)*_xlfn.MAP(MID(代码表[[#This Row],[代码]],_xlpm.i,1),_xlfn.LAMBDA(_xlpm.a,IF(CODE(_xlpm.a)&gt;64,CODE(_xlpm.a)-55,CODE(_xlpm.a)-48))))))</f>
        <v>44102</v>
      </c>
      <c r="G361" s="10" t="str">
        <f t="array" ref="G361">IFERROR(INDEX(角色MOD表[],MATCH(1,(角色MOD表[名称]=A361)*(角色MOD表[品质]=E361)*IF(D361="",1,(角色MOD表[属性]="")+ISNUMBER(FIND(D361,角色MOD表[属性]))),0),2),INDEX(武器MOD表[],MATCH(1,(武器MOD表[名称]=A361)*(武器MOD表[品质]=E361)*((武器MOD表[类型]=C361)+(武器MOD表[限定]=C361)),0),2))</f>
        <v>异化冥犬</v>
      </c>
    </row>
    <row r="362" spans="1:7">
      <c r="A362" s="9" t="s">
        <v>722</v>
      </c>
      <c r="B362" s="50" t="s">
        <v>1176</v>
      </c>
      <c r="C362" t="s">
        <v>732</v>
      </c>
      <c r="E362" s="9" t="s">
        <v>959</v>
      </c>
      <c r="F362" s="4">
        <f>SUM(_xlfn.MAP(_xlfn.SEQUENCE(4),_xlfn.LAMBDA(_xlpm.i,POWER(36,4-_xlpm.i)*_xlfn.MAP(MID(代码表[[#This Row],[代码]],_xlpm.i,1),_xlfn.LAMBDA(_xlpm.a,IF(CODE(_xlpm.a)&gt;64,CODE(_xlpm.a)-55,CODE(_xlpm.a)-48))))))</f>
        <v>44103</v>
      </c>
      <c r="G362" s="10" t="str">
        <f t="array" ref="G362">IFERROR(INDEX(角色MOD表[],MATCH(1,(角色MOD表[名称]=A362)*(角色MOD表[品质]=E362)*IF(D362="",1,(角色MOD表[属性]="")+ISNUMBER(FIND(D362,角色MOD表[属性]))),0),2),INDEX(武器MOD表[],MATCH(1,(武器MOD表[名称]=A362)*(武器MOD表[品质]=E362)*((武器MOD表[类型]=C362)+(武器MOD表[限定]=C362)),0),2))</f>
        <v>异化冥犬</v>
      </c>
    </row>
    <row r="363" spans="1:7">
      <c r="A363" t="s">
        <v>713</v>
      </c>
      <c r="B363" s="51" t="s">
        <v>1177</v>
      </c>
      <c r="C363" t="s">
        <v>738</v>
      </c>
      <c r="E363" s="9" t="s">
        <v>959</v>
      </c>
      <c r="F363" s="4">
        <f>SUM(_xlfn.MAP(_xlfn.SEQUENCE(4),_xlfn.LAMBDA(_xlpm.i,POWER(36,4-_xlpm.i)*_xlfn.MAP(MID(代码表[[#This Row],[代码]],_xlpm.i,1),_xlfn.LAMBDA(_xlpm.a,IF(CODE(_xlpm.a)&gt;64,CODE(_xlpm.a)-55,CODE(_xlpm.a)-48))))))</f>
        <v>45001</v>
      </c>
      <c r="G363" s="10" t="str">
        <f t="array" ref="G363">IFERROR(INDEX(角色MOD表[],MATCH(1,(角色MOD表[名称]=A363)*(角色MOD表[品质]=E363)*IF(D363="",1,(角色MOD表[属性]="")+ISNUMBER(FIND(D363,角色MOD表[属性]))),0),2),INDEX(武器MOD表[],MATCH(1,(武器MOD表[名称]=A363)*(武器MOD表[品质]=E363)*((武器MOD表[类型]=C363)+(武器MOD表[限定]=C363)),0),2))</f>
        <v>异化夜魔</v>
      </c>
    </row>
    <row r="364" spans="1:7">
      <c r="A364" t="s">
        <v>177</v>
      </c>
      <c r="B364" s="51" t="s">
        <v>1178</v>
      </c>
      <c r="C364" t="s">
        <v>738</v>
      </c>
      <c r="E364" s="9" t="s">
        <v>959</v>
      </c>
      <c r="F364" s="4">
        <f>SUM(_xlfn.MAP(_xlfn.SEQUENCE(4),_xlfn.LAMBDA(_xlpm.i,POWER(36,4-_xlpm.i)*_xlfn.MAP(MID(代码表[[#This Row],[代码]],_xlpm.i,1),_xlfn.LAMBDA(_xlpm.a,IF(CODE(_xlpm.a)&gt;64,CODE(_xlpm.a)-55,CODE(_xlpm.a)-48))))))</f>
        <v>45002</v>
      </c>
      <c r="G364" s="10" t="str">
        <f t="array" ref="G364">IFERROR(INDEX(角色MOD表[],MATCH(1,(角色MOD表[名称]=A364)*(角色MOD表[品质]=E364)*IF(D364="",1,(角色MOD表[属性]="")+ISNUMBER(FIND(D364,角色MOD表[属性]))),0),2),INDEX(武器MOD表[],MATCH(1,(武器MOD表[名称]=A364)*(武器MOD表[品质]=E364)*((武器MOD表[类型]=C364)+(武器MOD表[限定]=C364)),0),2))</f>
        <v>异化夜魔</v>
      </c>
    </row>
    <row r="365" spans="1:7">
      <c r="A365" t="s">
        <v>154</v>
      </c>
      <c r="B365" s="51" t="s">
        <v>1179</v>
      </c>
      <c r="C365" t="s">
        <v>738</v>
      </c>
      <c r="E365" s="9" t="s">
        <v>959</v>
      </c>
      <c r="F365" s="4">
        <f>SUM(_xlfn.MAP(_xlfn.SEQUENCE(4),_xlfn.LAMBDA(_xlpm.i,POWER(36,4-_xlpm.i)*_xlfn.MAP(MID(代码表[[#This Row],[代码]],_xlpm.i,1),_xlfn.LAMBDA(_xlpm.a,IF(CODE(_xlpm.a)&gt;64,CODE(_xlpm.a)-55,CODE(_xlpm.a)-48))))))</f>
        <v>45003</v>
      </c>
      <c r="G365" s="10" t="str">
        <f t="array" ref="G365">IFERROR(INDEX(角色MOD表[],MATCH(1,(角色MOD表[名称]=A365)*(角色MOD表[品质]=E365)*IF(D365="",1,(角色MOD表[属性]="")+ISNUMBER(FIND(D365,角色MOD表[属性]))),0),2),INDEX(武器MOD表[],MATCH(1,(武器MOD表[名称]=A365)*(武器MOD表[品质]=E365)*((武器MOD表[类型]=C365)+(武器MOD表[限定]=C365)),0),2))</f>
        <v>异化夜魔</v>
      </c>
    </row>
    <row r="366" spans="1:7">
      <c r="A366" t="s">
        <v>153</v>
      </c>
      <c r="B366" s="51" t="s">
        <v>1180</v>
      </c>
      <c r="C366" t="s">
        <v>738</v>
      </c>
      <c r="E366" s="9" t="s">
        <v>959</v>
      </c>
      <c r="F366" s="4">
        <f>SUM(_xlfn.MAP(_xlfn.SEQUENCE(4),_xlfn.LAMBDA(_xlpm.i,POWER(36,4-_xlpm.i)*_xlfn.MAP(MID(代码表[[#This Row],[代码]],_xlpm.i,1),_xlfn.LAMBDA(_xlpm.a,IF(CODE(_xlpm.a)&gt;64,CODE(_xlpm.a)-55,CODE(_xlpm.a)-48))))))</f>
        <v>45004</v>
      </c>
      <c r="G366" s="10" t="str">
        <f t="array" ref="G366">IFERROR(INDEX(角色MOD表[],MATCH(1,(角色MOD表[名称]=A366)*(角色MOD表[品质]=E366)*IF(D366="",1,(角色MOD表[属性]="")+ISNUMBER(FIND(D366,角色MOD表[属性]))),0),2),INDEX(武器MOD表[],MATCH(1,(武器MOD表[名称]=A366)*(武器MOD表[品质]=E366)*((武器MOD表[类型]=C366)+(武器MOD表[限定]=C366)),0),2))</f>
        <v>异化夜魔</v>
      </c>
    </row>
    <row r="367" spans="1:7">
      <c r="A367" t="s">
        <v>173</v>
      </c>
      <c r="B367" s="51" t="s">
        <v>1181</v>
      </c>
      <c r="C367" t="s">
        <v>738</v>
      </c>
      <c r="E367" s="9" t="s">
        <v>959</v>
      </c>
      <c r="F367" s="4">
        <f>SUM(_xlfn.MAP(_xlfn.SEQUENCE(4),_xlfn.LAMBDA(_xlpm.i,POWER(36,4-_xlpm.i)*_xlfn.MAP(MID(代码表[[#This Row],[代码]],_xlpm.i,1),_xlfn.LAMBDA(_xlpm.a,IF(CODE(_xlpm.a)&gt;64,CODE(_xlpm.a)-55,CODE(_xlpm.a)-48))))))</f>
        <v>45005</v>
      </c>
      <c r="G367" s="10" t="str">
        <f t="array" ref="G367">IFERROR(INDEX(角色MOD表[],MATCH(1,(角色MOD表[名称]=A367)*(角色MOD表[品质]=E367)*IF(D367="",1,(角色MOD表[属性]="")+ISNUMBER(FIND(D367,角色MOD表[属性]))),0),2),INDEX(武器MOD表[],MATCH(1,(武器MOD表[名称]=A367)*(武器MOD表[品质]=E367)*((武器MOD表[类型]=C367)+(武器MOD表[限定]=C367)),0),2))</f>
        <v>异化夜魔</v>
      </c>
    </row>
    <row r="368" spans="1:7">
      <c r="A368" t="s">
        <v>717</v>
      </c>
      <c r="B368" s="51" t="s">
        <v>1182</v>
      </c>
      <c r="C368" t="s">
        <v>738</v>
      </c>
      <c r="E368" s="9" t="s">
        <v>959</v>
      </c>
      <c r="F368" s="4">
        <f>SUM(_xlfn.MAP(_xlfn.SEQUENCE(4),_xlfn.LAMBDA(_xlpm.i,POWER(36,4-_xlpm.i)*_xlfn.MAP(MID(代码表[[#This Row],[代码]],_xlpm.i,1),_xlfn.LAMBDA(_xlpm.a,IF(CODE(_xlpm.a)&gt;64,CODE(_xlpm.a)-55,CODE(_xlpm.a)-48))))))</f>
        <v>45006</v>
      </c>
      <c r="G368" s="10" t="str">
        <f t="array" ref="G368">IFERROR(INDEX(角色MOD表[],MATCH(1,(角色MOD表[名称]=A368)*(角色MOD表[品质]=E368)*IF(D368="",1,(角色MOD表[属性]="")+ISNUMBER(FIND(D368,角色MOD表[属性]))),0),2),INDEX(武器MOD表[],MATCH(1,(武器MOD表[名称]=A368)*(武器MOD表[品质]=E368)*((武器MOD表[类型]=C368)+(武器MOD表[限定]=C368)),0),2))</f>
        <v>异化夜魔</v>
      </c>
    </row>
    <row r="369" spans="1:7">
      <c r="A369" t="s">
        <v>155</v>
      </c>
      <c r="B369" s="51" t="s">
        <v>1183</v>
      </c>
      <c r="C369" t="s">
        <v>738</v>
      </c>
      <c r="E369" s="9" t="s">
        <v>959</v>
      </c>
      <c r="F369" s="4">
        <f>SUM(_xlfn.MAP(_xlfn.SEQUENCE(4),_xlfn.LAMBDA(_xlpm.i,POWER(36,4-_xlpm.i)*_xlfn.MAP(MID(代码表[[#This Row],[代码]],_xlpm.i,1),_xlfn.LAMBDA(_xlpm.a,IF(CODE(_xlpm.a)&gt;64,CODE(_xlpm.a)-55,CODE(_xlpm.a)-48))))))</f>
        <v>45101</v>
      </c>
      <c r="G369" s="10" t="str">
        <f t="array" ref="G369">IFERROR(INDEX(角色MOD表[],MATCH(1,(角色MOD表[名称]=A369)*(角色MOD表[品质]=E369)*IF(D369="",1,(角色MOD表[属性]="")+ISNUMBER(FIND(D369,角色MOD表[属性]))),0),2),INDEX(武器MOD表[],MATCH(1,(武器MOD表[名称]=A369)*(武器MOD表[品质]=E369)*((武器MOD表[类型]=C369)+(武器MOD表[限定]=C369)),0),2))</f>
        <v>异化夜魔</v>
      </c>
    </row>
    <row r="370" spans="1:7">
      <c r="A370" s="9" t="s">
        <v>720</v>
      </c>
      <c r="B370" s="51" t="s">
        <v>1184</v>
      </c>
      <c r="C370" t="s">
        <v>738</v>
      </c>
      <c r="E370" s="9" t="s">
        <v>959</v>
      </c>
      <c r="F370" s="4">
        <f>SUM(_xlfn.MAP(_xlfn.SEQUENCE(4),_xlfn.LAMBDA(_xlpm.i,POWER(36,4-_xlpm.i)*_xlfn.MAP(MID(代码表[[#This Row],[代码]],_xlpm.i,1),_xlfn.LAMBDA(_xlpm.a,IF(CODE(_xlpm.a)&gt;64,CODE(_xlpm.a)-55,CODE(_xlpm.a)-48))))))</f>
        <v>45102</v>
      </c>
      <c r="G370" s="10" t="str">
        <f t="array" ref="G370">IFERROR(INDEX(角色MOD表[],MATCH(1,(角色MOD表[名称]=A370)*(角色MOD表[品质]=E370)*IF(D370="",1,(角色MOD表[属性]="")+ISNUMBER(FIND(D370,角色MOD表[属性]))),0),2),INDEX(武器MOD表[],MATCH(1,(武器MOD表[名称]=A370)*(武器MOD表[品质]=E370)*((武器MOD表[类型]=C370)+(武器MOD表[限定]=C370)),0),2))</f>
        <v>异化夜魔</v>
      </c>
    </row>
    <row r="371" spans="1:7">
      <c r="A371" s="9" t="s">
        <v>722</v>
      </c>
      <c r="B371" s="51" t="s">
        <v>1185</v>
      </c>
      <c r="C371" t="s">
        <v>738</v>
      </c>
      <c r="E371" s="9" t="s">
        <v>959</v>
      </c>
      <c r="F371" s="4">
        <f>SUM(_xlfn.MAP(_xlfn.SEQUENCE(4),_xlfn.LAMBDA(_xlpm.i,POWER(36,4-_xlpm.i)*_xlfn.MAP(MID(代码表[[#This Row],[代码]],_xlpm.i,1),_xlfn.LAMBDA(_xlpm.a,IF(CODE(_xlpm.a)&gt;64,CODE(_xlpm.a)-55,CODE(_xlpm.a)-48))))))</f>
        <v>45103</v>
      </c>
      <c r="G371" s="10" t="str">
        <f t="array" ref="G371">IFERROR(INDEX(角色MOD表[],MATCH(1,(角色MOD表[名称]=A371)*(角色MOD表[品质]=E371)*IF(D371="",1,(角色MOD表[属性]="")+ISNUMBER(FIND(D371,角色MOD表[属性]))),0),2),INDEX(武器MOD表[],MATCH(1,(武器MOD表[名称]=A371)*(武器MOD表[品质]=E371)*((武器MOD表[类型]=C371)+(武器MOD表[限定]=C371)),0),2))</f>
        <v>异化夜魔</v>
      </c>
    </row>
    <row r="372" spans="1:7">
      <c r="A372" t="s">
        <v>705</v>
      </c>
      <c r="B372" s="50" t="s">
        <v>1186</v>
      </c>
      <c r="C372" t="s">
        <v>16</v>
      </c>
      <c r="D372"/>
      <c r="E372" t="s">
        <v>78</v>
      </c>
      <c r="F372">
        <f t="array" ref="F372">SUM(_xlfn.MAP(_xlfn.SEQUENCE(4),_xlfn.LAMBDA(_xlpm.i,POWER(36,4-_xlpm.i)*_xlfn.MAP(MID(代码表[[#This Row],[代码]],_xlpm.i,1),_xlfn.LAMBDA(_xlpm.a,IF(CODE(_xlpm.a)&gt;64,CODE(_xlpm.a)-55,CODE(_xlpm.a)-48))))))</f>
        <v>51002</v>
      </c>
      <c r="G372" s="10" t="str">
        <f t="array" ref="G372">IFERROR(INDEX(角色MOD表[],MATCH(1,(角色MOD表[名称]=A372)*(角色MOD表[品质]=E372)*IF(D372="",1,(角色MOD表[属性]="")+ISNUMBER(FIND(D372,角色MOD表[属性]))),0),2),INDEX(武器MOD表[],MATCH(1,(武器MOD表[名称]=A372)*(武器MOD表[品质]=E372)*((武器MOD表[类型]=C372)+(武器MOD表[限定]=C372)),0),2))</f>
        <v>不死鸟</v>
      </c>
    </row>
    <row r="373" spans="1:7">
      <c r="A373" t="s">
        <v>707</v>
      </c>
      <c r="B373" s="50" t="s">
        <v>1187</v>
      </c>
      <c r="C373" t="s">
        <v>16</v>
      </c>
      <c r="D373"/>
      <c r="E373" t="s">
        <v>78</v>
      </c>
      <c r="F373">
        <f t="array" ref="F373">SUM(_xlfn.MAP(_xlfn.SEQUENCE(4),_xlfn.LAMBDA(_xlpm.i,POWER(36,4-_xlpm.i)*_xlfn.MAP(MID(代码表[[#This Row],[代码]],_xlpm.i,1),_xlfn.LAMBDA(_xlpm.a,IF(CODE(_xlpm.a)&gt;64,CODE(_xlpm.a)-55,CODE(_xlpm.a)-48))))))</f>
        <v>51003</v>
      </c>
      <c r="G373" s="10" t="str">
        <f t="array" ref="G373">IFERROR(INDEX(角色MOD表[],MATCH(1,(角色MOD表[名称]=A373)*(角色MOD表[品质]=E373)*IF(D373="",1,(角色MOD表[属性]="")+ISNUMBER(FIND(D373,角色MOD表[属性]))),0),2),INDEX(武器MOD表[],MATCH(1,(武器MOD表[名称]=A373)*(武器MOD表[品质]=E373)*((武器MOD表[类型]=C373)+(武器MOD表[限定]=C373)),0),2))</f>
        <v>不死鸟</v>
      </c>
    </row>
    <row r="374" spans="1:7">
      <c r="A374" t="s">
        <v>711</v>
      </c>
      <c r="B374" s="50" t="s">
        <v>1188</v>
      </c>
      <c r="C374" t="s">
        <v>16</v>
      </c>
      <c r="D374"/>
      <c r="E374" t="s">
        <v>78</v>
      </c>
      <c r="F374">
        <f t="array" ref="F374">SUM(_xlfn.MAP(_xlfn.SEQUENCE(4),_xlfn.LAMBDA(_xlpm.i,POWER(36,4-_xlpm.i)*_xlfn.MAP(MID(代码表[[#This Row],[代码]],_xlpm.i,1),_xlfn.LAMBDA(_xlpm.a,IF(CODE(_xlpm.a)&gt;64,CODE(_xlpm.a)-55,CODE(_xlpm.a)-48))))))</f>
        <v>51007</v>
      </c>
      <c r="G374" s="10" t="str">
        <f t="array" ref="G374">IFERROR(INDEX(角色MOD表[],MATCH(1,(角色MOD表[名称]=A374)*(角色MOD表[品质]=E374)*IF(D374="",1,(角色MOD表[属性]="")+ISNUMBER(FIND(D374,角色MOD表[属性]))),0),2),INDEX(武器MOD表[],MATCH(1,(武器MOD表[名称]=A374)*(武器MOD表[品质]=E374)*((武器MOD表[类型]=C374)+(武器MOD表[限定]=C374)),0),2))</f>
        <v>不死鸟</v>
      </c>
    </row>
    <row r="375" spans="1:7">
      <c r="A375" t="s">
        <v>862</v>
      </c>
      <c r="B375" s="50" t="s">
        <v>1189</v>
      </c>
      <c r="C375" t="s">
        <v>16</v>
      </c>
      <c r="D375"/>
      <c r="E375" t="s">
        <v>78</v>
      </c>
      <c r="F375">
        <f t="array" ref="F375">SUM(_xlfn.MAP(_xlfn.SEQUENCE(4),_xlfn.LAMBDA(_xlpm.i,POWER(36,4-_xlpm.i)*_xlfn.MAP(MID(代码表[[#This Row],[代码]],_xlpm.i,1),_xlfn.LAMBDA(_xlpm.a,IF(CODE(_xlpm.a)&gt;64,CODE(_xlpm.a)-55,CODE(_xlpm.a)-48))))))</f>
        <v>51301</v>
      </c>
      <c r="G375" s="10" t="str">
        <f t="array" ref="G375">IFERROR(INDEX(角色MOD表[],MATCH(1,(角色MOD表[名称]=A375)*(角色MOD表[品质]=E375)*IF(D375="",1,(角色MOD表[属性]="")+ISNUMBER(FIND(D375,角色MOD表[属性]))),0),2),INDEX(武器MOD表[],MATCH(1,(武器MOD表[名称]=A375)*(武器MOD表[品质]=E375)*((武器MOD表[类型]=C375)+(武器MOD表[限定]=C375)),0),2))</f>
        <v>海妖</v>
      </c>
    </row>
    <row r="376" spans="1:7">
      <c r="A376" t="s">
        <v>129</v>
      </c>
      <c r="B376" s="50" t="s">
        <v>1190</v>
      </c>
      <c r="C376" t="s">
        <v>16</v>
      </c>
      <c r="E376" t="s">
        <v>78</v>
      </c>
      <c r="F376">
        <f t="array" ref="F376">SUM(_xlfn.MAP(_xlfn.SEQUENCE(4),_xlfn.LAMBDA(_xlpm.i,POWER(36,4-_xlpm.i)*_xlfn.MAP(MID(代码表[[#This Row],[代码]],_xlpm.i,1),_xlfn.LAMBDA(_xlpm.a,IF(CODE(_xlpm.a)&gt;64,CODE(_xlpm.a)-55,CODE(_xlpm.a)-48))))))</f>
        <v>51311</v>
      </c>
      <c r="G376" s="10" t="str">
        <f t="array" ref="G376">IFERROR(INDEX(角色MOD表[],MATCH(1,(角色MOD表[名称]=A376)*(角色MOD表[品质]=E376)*IF(D376="",1,(角色MOD表[属性]="")+ISNUMBER(FIND(D376,角色MOD表[属性]))),0),2),INDEX(武器MOD表[],MATCH(1,(武器MOD表[名称]=A376)*(武器MOD表[品质]=E376)*((武器MOD表[类型]=C376)+(武器MOD表[限定]=C376)),0),2))</f>
        <v>人面狮</v>
      </c>
    </row>
    <row r="377" spans="1:7">
      <c r="A377" t="s">
        <v>969</v>
      </c>
      <c r="B377" s="50" t="s">
        <v>1191</v>
      </c>
      <c r="C377" t="s">
        <v>16</v>
      </c>
      <c r="D377"/>
      <c r="E377" t="s">
        <v>78</v>
      </c>
      <c r="F377">
        <f t="array" ref="F377">SUM(_xlfn.MAP(_xlfn.SEQUENCE(4),_xlfn.LAMBDA(_xlpm.i,POWER(36,4-_xlpm.i)*_xlfn.MAP(MID(代码表[[#This Row],[代码]],_xlpm.i,1),_xlfn.LAMBDA(_xlpm.a,IF(CODE(_xlpm.a)&gt;64,CODE(_xlpm.a)-55,CODE(_xlpm.a)-48))))))</f>
        <v>51312</v>
      </c>
      <c r="G377" s="10" t="str">
        <f t="array" ref="G377">IFERROR(INDEX(角色MOD表[],MATCH(1,(角色MOD表[名称]=A377)*(角色MOD表[品质]=E377)*IF(D377="",1,(角色MOD表[属性]="")+ISNUMBER(FIND(D377,角色MOD表[属性]))),0),2),INDEX(武器MOD表[],MATCH(1,(武器MOD表[名称]=A377)*(武器MOD表[品质]=E377)*((武器MOD表[类型]=C377)+(武器MOD表[限定]=C377)),0),2))</f>
        <v>人面狮</v>
      </c>
    </row>
    <row r="378" spans="1:7">
      <c r="A378" t="s">
        <v>131</v>
      </c>
      <c r="B378" s="50" t="s">
        <v>1192</v>
      </c>
      <c r="C378" t="s">
        <v>16</v>
      </c>
      <c r="D378"/>
      <c r="E378" t="s">
        <v>78</v>
      </c>
      <c r="F378">
        <f t="array" ref="F378">SUM(_xlfn.MAP(_xlfn.SEQUENCE(4),_xlfn.LAMBDA(_xlpm.i,POWER(36,4-_xlpm.i)*_xlfn.MAP(MID(代码表[[#This Row],[代码]],_xlpm.i,1),_xlfn.LAMBDA(_xlpm.a,IF(CODE(_xlpm.a)&gt;64,CODE(_xlpm.a)-55,CODE(_xlpm.a)-48))))))</f>
        <v>51313</v>
      </c>
      <c r="G378" s="10" t="str">
        <f t="array" ref="G378">IFERROR(INDEX(角色MOD表[],MATCH(1,(角色MOD表[名称]=A378)*(角色MOD表[品质]=E378)*IF(D378="",1,(角色MOD表[属性]="")+ISNUMBER(FIND(D378,角色MOD表[属性]))),0),2),INDEX(武器MOD表[],MATCH(1,(武器MOD表[名称]=A378)*(武器MOD表[品质]=E378)*((武器MOD表[类型]=C378)+(武器MOD表[限定]=C378)),0),2))</f>
        <v>人面狮</v>
      </c>
    </row>
    <row r="379" spans="1:7">
      <c r="A379" t="s">
        <v>972</v>
      </c>
      <c r="B379" s="50" t="s">
        <v>1193</v>
      </c>
      <c r="C379" t="s">
        <v>16</v>
      </c>
      <c r="E379" t="s">
        <v>78</v>
      </c>
      <c r="F379">
        <f t="array" ref="F379">SUM(_xlfn.MAP(_xlfn.SEQUENCE(4),_xlfn.LAMBDA(_xlpm.i,POWER(36,4-_xlpm.i)*_xlfn.MAP(MID(代码表[[#This Row],[代码]],_xlpm.i,1),_xlfn.LAMBDA(_xlpm.a,IF(CODE(_xlpm.a)&gt;64,CODE(_xlpm.a)-55,CODE(_xlpm.a)-48))))))</f>
        <v>51314</v>
      </c>
      <c r="G379" s="10" t="str">
        <f t="array" ref="G379">IFERROR(INDEX(角色MOD表[],MATCH(1,(角色MOD表[名称]=A379)*(角色MOD表[品质]=E379)*IF(D379="",1,(角色MOD表[属性]="")+ISNUMBER(FIND(D379,角色MOD表[属性]))),0),2),INDEX(武器MOD表[],MATCH(1,(武器MOD表[名称]=A379)*(武器MOD表[品质]=E379)*((武器MOD表[类型]=C379)+(武器MOD表[限定]=C379)),0),2))</f>
        <v>人面狮</v>
      </c>
    </row>
    <row r="380" spans="1:7">
      <c r="A380" t="s">
        <v>113</v>
      </c>
      <c r="B380" s="50" t="s">
        <v>1194</v>
      </c>
      <c r="C380" t="s">
        <v>16</v>
      </c>
      <c r="D380"/>
      <c r="E380" t="s">
        <v>78</v>
      </c>
      <c r="F380">
        <f t="array" ref="F380">SUM(_xlfn.MAP(_xlfn.SEQUENCE(4),_xlfn.LAMBDA(_xlpm.i,POWER(36,4-_xlpm.i)*_xlfn.MAP(MID(代码表[[#This Row],[代码]],_xlpm.i,1),_xlfn.LAMBDA(_xlpm.a,IF(CODE(_xlpm.a)&gt;64,CODE(_xlpm.a)-55,CODE(_xlpm.a)-48))))))</f>
        <v>51315</v>
      </c>
      <c r="G380" s="10" t="str">
        <f t="array" ref="G380">IFERROR(INDEX(角色MOD表[],MATCH(1,(角色MOD表[名称]=A380)*(角色MOD表[品质]=E380)*IF(D380="",1,(角色MOD表[属性]="")+ISNUMBER(FIND(D380,角色MOD表[属性]))),0),2),INDEX(武器MOD表[],MATCH(1,(武器MOD表[名称]=A380)*(武器MOD表[品质]=E380)*((武器MOD表[类型]=C380)+(武器MOD表[限定]=C380)),0),2))</f>
        <v>人面狮</v>
      </c>
    </row>
    <row r="381" spans="1:7">
      <c r="A381" t="s">
        <v>975</v>
      </c>
      <c r="B381" s="50" t="s">
        <v>1195</v>
      </c>
      <c r="C381" t="s">
        <v>16</v>
      </c>
      <c r="E381" t="s">
        <v>78</v>
      </c>
      <c r="F381">
        <f t="array" ref="F381">SUM(_xlfn.MAP(_xlfn.SEQUENCE(4),_xlfn.LAMBDA(_xlpm.i,POWER(36,4-_xlpm.i)*_xlfn.MAP(MID(代码表[[#This Row],[代码]],_xlpm.i,1),_xlfn.LAMBDA(_xlpm.a,IF(CODE(_xlpm.a)&gt;64,CODE(_xlpm.a)-55,CODE(_xlpm.a)-48))))))</f>
        <v>51316</v>
      </c>
      <c r="G381" s="10" t="str">
        <f t="array" ref="G381">IFERROR(INDEX(角色MOD表[],MATCH(1,(角色MOD表[名称]=A381)*(角色MOD表[品质]=E381)*IF(D381="",1,(角色MOD表[属性]="")+ISNUMBER(FIND(D381,角色MOD表[属性]))),0),2),INDEX(武器MOD表[],MATCH(1,(武器MOD表[名称]=A381)*(武器MOD表[品质]=E381)*((武器MOD表[类型]=C381)+(武器MOD表[限定]=C381)),0),2))</f>
        <v>人面狮</v>
      </c>
    </row>
    <row r="382" spans="1:7">
      <c r="A382" t="s">
        <v>977</v>
      </c>
      <c r="B382" s="50" t="s">
        <v>1196</v>
      </c>
      <c r="C382" t="s">
        <v>16</v>
      </c>
      <c r="D382" t="s">
        <v>79</v>
      </c>
      <c r="E382" t="s">
        <v>78</v>
      </c>
      <c r="F382">
        <f t="array" ref="F382">SUM(_xlfn.MAP(_xlfn.SEQUENCE(4),_xlfn.LAMBDA(_xlpm.i,POWER(36,4-_xlpm.i)*_xlfn.MAP(MID(代码表[[#This Row],[代码]],_xlpm.i,1),_xlfn.LAMBDA(_xlpm.a,IF(CODE(_xlpm.a)&gt;64,CODE(_xlpm.a)-55,CODE(_xlpm.a)-48))))))</f>
        <v>51321</v>
      </c>
      <c r="G382" s="10" t="str">
        <f t="array" ref="G382">IFERROR(INDEX(角色MOD表[],MATCH(1,(角色MOD表[名称]=A382)*(角色MOD表[品质]=E382)*IF(D382="",1,(角色MOD表[属性]="")+ISNUMBER(FIND(D382,角色MOD表[属性]))),0),2),INDEX(武器MOD表[],MATCH(1,(武器MOD表[名称]=A382)*(武器MOD表[品质]=E382)*((武器MOD表[类型]=C382)+(武器MOD表[限定]=C382)),0),2))</f>
        <v>狮鹫</v>
      </c>
    </row>
    <row r="383" spans="1:7">
      <c r="A383" t="s">
        <v>979</v>
      </c>
      <c r="B383" s="50" t="s">
        <v>1197</v>
      </c>
      <c r="C383" t="s">
        <v>16</v>
      </c>
      <c r="D383" t="s">
        <v>23</v>
      </c>
      <c r="E383" t="s">
        <v>78</v>
      </c>
      <c r="F383">
        <f t="array" ref="F383">SUM(_xlfn.MAP(_xlfn.SEQUENCE(4),_xlfn.LAMBDA(_xlpm.i,POWER(36,4-_xlpm.i)*_xlfn.MAP(MID(代码表[[#This Row],[代码]],_xlpm.i,1),_xlfn.LAMBDA(_xlpm.a,IF(CODE(_xlpm.a)&gt;64,CODE(_xlpm.a)-55,CODE(_xlpm.a)-48))))))</f>
        <v>51322</v>
      </c>
      <c r="G383" s="10" t="str">
        <f t="array" ref="G383">IFERROR(INDEX(角色MOD表[],MATCH(1,(角色MOD表[名称]=A383)*(角色MOD表[品质]=E383)*IF(D383="",1,(角色MOD表[属性]="")+ISNUMBER(FIND(D383,角色MOD表[属性]))),0),2),INDEX(武器MOD表[],MATCH(1,(武器MOD表[名称]=A383)*(武器MOD表[品质]=E383)*((武器MOD表[类型]=C383)+(武器MOD表[限定]=C383)),0),2))</f>
        <v>狮鹫</v>
      </c>
    </row>
    <row r="384" spans="1:7">
      <c r="A384" s="57" t="s">
        <v>981</v>
      </c>
      <c r="B384" s="50" t="s">
        <v>1198</v>
      </c>
      <c r="C384" t="s">
        <v>16</v>
      </c>
      <c r="D384" t="s">
        <v>37</v>
      </c>
      <c r="E384" t="s">
        <v>78</v>
      </c>
      <c r="F384">
        <f t="array" ref="F384">SUM(_xlfn.MAP(_xlfn.SEQUENCE(4),_xlfn.LAMBDA(_xlpm.i,POWER(36,4-_xlpm.i)*_xlfn.MAP(MID(代码表[[#This Row],[代码]],_xlpm.i,1),_xlfn.LAMBDA(_xlpm.a,IF(CODE(_xlpm.a)&gt;64,CODE(_xlpm.a)-55,CODE(_xlpm.a)-48))))))</f>
        <v>51323</v>
      </c>
      <c r="G384" s="10" t="str">
        <f t="array" ref="G384">IFERROR(INDEX(角色MOD表[],MATCH(1,(角色MOD表[名称]=A384)*(角色MOD表[品质]=E384)*IF(D384="",1,(角色MOD表[属性]="")+ISNUMBER(FIND(D384,角色MOD表[属性]))),0),2),INDEX(武器MOD表[],MATCH(1,(武器MOD表[名称]=A384)*(武器MOD表[品质]=E384)*((武器MOD表[类型]=C384)+(武器MOD表[限定]=C384)),0),2))</f>
        <v>狮鹫</v>
      </c>
    </row>
    <row r="385" spans="1:7">
      <c r="A385" t="s">
        <v>983</v>
      </c>
      <c r="B385" s="50" t="s">
        <v>1199</v>
      </c>
      <c r="C385" t="s">
        <v>16</v>
      </c>
      <c r="D385" t="s">
        <v>10</v>
      </c>
      <c r="E385" t="s">
        <v>78</v>
      </c>
      <c r="F385">
        <f t="array" ref="F385">SUM(_xlfn.MAP(_xlfn.SEQUENCE(4),_xlfn.LAMBDA(_xlpm.i,POWER(36,4-_xlpm.i)*_xlfn.MAP(MID(代码表[[#This Row],[代码]],_xlpm.i,1),_xlfn.LAMBDA(_xlpm.a,IF(CODE(_xlpm.a)&gt;64,CODE(_xlpm.a)-55,CODE(_xlpm.a)-48))))))</f>
        <v>51324</v>
      </c>
      <c r="G385" s="10" t="str">
        <f t="array" ref="G385">IFERROR(INDEX(角色MOD表[],MATCH(1,(角色MOD表[名称]=A385)*(角色MOD表[品质]=E385)*IF(D385="",1,(角色MOD表[属性]="")+ISNUMBER(FIND(D385,角色MOD表[属性]))),0),2),INDEX(武器MOD表[],MATCH(1,(武器MOD表[名称]=A385)*(武器MOD表[品质]=E385)*((武器MOD表[类型]=C385)+(武器MOD表[限定]=C385)),0),2))</f>
        <v>狮鹫</v>
      </c>
    </row>
    <row r="386" spans="1:11">
      <c r="A386" t="s">
        <v>83</v>
      </c>
      <c r="B386" s="50" t="s">
        <v>1200</v>
      </c>
      <c r="C386" t="s">
        <v>16</v>
      </c>
      <c r="D386" t="s">
        <v>43</v>
      </c>
      <c r="E386" t="s">
        <v>78</v>
      </c>
      <c r="F386">
        <f t="array" ref="F386">SUM(_xlfn.MAP(_xlfn.SEQUENCE(4),_xlfn.LAMBDA(_xlpm.i,POWER(36,4-_xlpm.i)*_xlfn.MAP(MID(代码表[[#This Row],[代码]],_xlpm.i,1),_xlfn.LAMBDA(_xlpm.a,IF(CODE(_xlpm.a)&gt;64,CODE(_xlpm.a)-55,CODE(_xlpm.a)-48))))))</f>
        <v>51325</v>
      </c>
      <c r="G386" s="10" t="str">
        <f t="array" ref="G386">IFERROR(INDEX(角色MOD表[],MATCH(1,(角色MOD表[名称]=A386)*(角色MOD表[品质]=E386)*IF(D386="",1,(角色MOD表[属性]="")+ISNUMBER(FIND(D386,角色MOD表[属性]))),0),2),INDEX(武器MOD表[],MATCH(1,(武器MOD表[名称]=A386)*(武器MOD表[品质]=E386)*((武器MOD表[类型]=C386)+(武器MOD表[限定]=C386)),0),2))</f>
        <v>狮鹫</v>
      </c>
      <c r="K386" s="10"/>
    </row>
    <row r="387" spans="1:11">
      <c r="A387" t="s">
        <v>986</v>
      </c>
      <c r="B387" s="50" t="s">
        <v>1201</v>
      </c>
      <c r="C387" t="s">
        <v>16</v>
      </c>
      <c r="D387" t="s">
        <v>72</v>
      </c>
      <c r="E387" t="s">
        <v>78</v>
      </c>
      <c r="F387">
        <f t="array" ref="F387">SUM(_xlfn.MAP(_xlfn.SEQUENCE(4),_xlfn.LAMBDA(_xlpm.i,POWER(36,4-_xlpm.i)*_xlfn.MAP(MID(代码表[[#This Row],[代码]],_xlpm.i,1),_xlfn.LAMBDA(_xlpm.a,IF(CODE(_xlpm.a)&gt;64,CODE(_xlpm.a)-55,CODE(_xlpm.a)-48))))))</f>
        <v>51326</v>
      </c>
      <c r="G387" s="10" t="str">
        <f t="array" ref="G387">IFERROR(INDEX(角色MOD表[],MATCH(1,(角色MOD表[名称]=A387)*(角色MOD表[品质]=E387)*IF(D387="",1,(角色MOD表[属性]="")+ISNUMBER(FIND(D387,角色MOD表[属性]))),0),2),INDEX(武器MOD表[],MATCH(1,(武器MOD表[名称]=A387)*(武器MOD表[品质]=E387)*((武器MOD表[类型]=C387)+(武器MOD表[限定]=C387)),0),2))</f>
        <v>狮鹫</v>
      </c>
      <c r="K387" s="10"/>
    </row>
    <row r="388" spans="1:11">
      <c r="A388" t="s">
        <v>988</v>
      </c>
      <c r="B388" s="50" t="s">
        <v>1202</v>
      </c>
      <c r="C388" t="s">
        <v>16</v>
      </c>
      <c r="D388" t="s">
        <v>79</v>
      </c>
      <c r="E388" t="s">
        <v>78</v>
      </c>
      <c r="F388">
        <f t="array" ref="F388">SUM(_xlfn.MAP(_xlfn.SEQUENCE(4),_xlfn.LAMBDA(_xlpm.i,POWER(36,4-_xlpm.i)*_xlfn.MAP(MID(代码表[[#This Row],[代码]],_xlpm.i,1),_xlfn.LAMBDA(_xlpm.a,IF(CODE(_xlpm.a)&gt;64,CODE(_xlpm.a)-55,CODE(_xlpm.a)-48))))))</f>
        <v>51331</v>
      </c>
      <c r="G388" s="10" t="str">
        <f t="array" ref="G388">IFERROR(INDEX(角色MOD表[],MATCH(1,(角色MOD表[名称]=A388)*(角色MOD表[品质]=E388)*IF(D388="",1,(角色MOD表[属性]="")+ISNUMBER(FIND(D388,角色MOD表[属性]))),0),2),INDEX(武器MOD表[],MATCH(1,(武器MOD表[名称]=A388)*(武器MOD表[品质]=E388)*((武器MOD表[类型]=C388)+(武器MOD表[限定]=C388)),0),2))</f>
        <v>狮鹫</v>
      </c>
      <c r="K388" s="10"/>
    </row>
    <row r="389" spans="1:11">
      <c r="A389" t="s">
        <v>990</v>
      </c>
      <c r="B389" s="50" t="s">
        <v>1203</v>
      </c>
      <c r="C389" t="s">
        <v>16</v>
      </c>
      <c r="D389" t="s">
        <v>23</v>
      </c>
      <c r="E389" t="s">
        <v>78</v>
      </c>
      <c r="F389">
        <f t="array" ref="F389">SUM(_xlfn.MAP(_xlfn.SEQUENCE(4),_xlfn.LAMBDA(_xlpm.i,POWER(36,4-_xlpm.i)*_xlfn.MAP(MID(代码表[[#This Row],[代码]],_xlpm.i,1),_xlfn.LAMBDA(_xlpm.a,IF(CODE(_xlpm.a)&gt;64,CODE(_xlpm.a)-55,CODE(_xlpm.a)-48))))))</f>
        <v>51332</v>
      </c>
      <c r="G389" s="10" t="str">
        <f t="array" ref="G389">IFERROR(INDEX(角色MOD表[],MATCH(1,(角色MOD表[名称]=A389)*(角色MOD表[品质]=E389)*IF(D389="",1,(角色MOD表[属性]="")+ISNUMBER(FIND(D389,角色MOD表[属性]))),0),2),INDEX(武器MOD表[],MATCH(1,(武器MOD表[名称]=A389)*(武器MOD表[品质]=E389)*((武器MOD表[类型]=C389)+(武器MOD表[限定]=C389)),0),2))</f>
        <v>狮鹫</v>
      </c>
      <c r="K389" s="10"/>
    </row>
    <row r="390" spans="1:11">
      <c r="A390" t="s">
        <v>992</v>
      </c>
      <c r="B390" s="50" t="s">
        <v>1204</v>
      </c>
      <c r="C390" t="s">
        <v>16</v>
      </c>
      <c r="D390" t="s">
        <v>37</v>
      </c>
      <c r="E390" t="s">
        <v>78</v>
      </c>
      <c r="F390">
        <f t="array" ref="F390">SUM(_xlfn.MAP(_xlfn.SEQUENCE(4),_xlfn.LAMBDA(_xlpm.i,POWER(36,4-_xlpm.i)*_xlfn.MAP(MID(代码表[[#This Row],[代码]],_xlpm.i,1),_xlfn.LAMBDA(_xlpm.a,IF(CODE(_xlpm.a)&gt;64,CODE(_xlpm.a)-55,CODE(_xlpm.a)-48))))))</f>
        <v>51333</v>
      </c>
      <c r="G390" s="10" t="str">
        <f t="array" ref="G390">IFERROR(INDEX(角色MOD表[],MATCH(1,(角色MOD表[名称]=A390)*(角色MOD表[品质]=E390)*IF(D390="",1,(角色MOD表[属性]="")+ISNUMBER(FIND(D390,角色MOD表[属性]))),0),2),INDEX(武器MOD表[],MATCH(1,(武器MOD表[名称]=A390)*(武器MOD表[品质]=E390)*((武器MOD表[类型]=C390)+(武器MOD表[限定]=C390)),0),2))</f>
        <v>狮鹫</v>
      </c>
      <c r="K390" s="10"/>
    </row>
    <row r="391" spans="1:11">
      <c r="A391" t="s">
        <v>994</v>
      </c>
      <c r="B391" s="50" t="s">
        <v>1205</v>
      </c>
      <c r="C391" t="s">
        <v>16</v>
      </c>
      <c r="D391" t="s">
        <v>10</v>
      </c>
      <c r="E391" t="s">
        <v>78</v>
      </c>
      <c r="F391">
        <f t="array" ref="F391">SUM(_xlfn.MAP(_xlfn.SEQUENCE(4),_xlfn.LAMBDA(_xlpm.i,POWER(36,4-_xlpm.i)*_xlfn.MAP(MID(代码表[[#This Row],[代码]],_xlpm.i,1),_xlfn.LAMBDA(_xlpm.a,IF(CODE(_xlpm.a)&gt;64,CODE(_xlpm.a)-55,CODE(_xlpm.a)-48))))))</f>
        <v>51334</v>
      </c>
      <c r="G391" s="10" t="str">
        <f t="array" ref="G391">IFERROR(INDEX(角色MOD表[],MATCH(1,(角色MOD表[名称]=A391)*(角色MOD表[品质]=E391)*IF(D391="",1,(角色MOD表[属性]="")+ISNUMBER(FIND(D391,角色MOD表[属性]))),0),2),INDEX(武器MOD表[],MATCH(1,(武器MOD表[名称]=A391)*(武器MOD表[品质]=E391)*((武器MOD表[类型]=C391)+(武器MOD表[限定]=C391)),0),2))</f>
        <v>狮鹫</v>
      </c>
      <c r="K391" s="10"/>
    </row>
    <row r="392" spans="1:11">
      <c r="A392" t="s">
        <v>996</v>
      </c>
      <c r="B392" s="50" t="s">
        <v>1206</v>
      </c>
      <c r="C392" t="s">
        <v>16</v>
      </c>
      <c r="D392" t="s">
        <v>43</v>
      </c>
      <c r="E392" t="s">
        <v>78</v>
      </c>
      <c r="F392">
        <f t="array" ref="F392">SUM(_xlfn.MAP(_xlfn.SEQUENCE(4),_xlfn.LAMBDA(_xlpm.i,POWER(36,4-_xlpm.i)*_xlfn.MAP(MID(代码表[[#This Row],[代码]],_xlpm.i,1),_xlfn.LAMBDA(_xlpm.a,IF(CODE(_xlpm.a)&gt;64,CODE(_xlpm.a)-55,CODE(_xlpm.a)-48))))))</f>
        <v>51335</v>
      </c>
      <c r="G392" s="10" t="str">
        <f t="array" ref="G392">IFERROR(INDEX(角色MOD表[],MATCH(1,(角色MOD表[名称]=A392)*(角色MOD表[品质]=E392)*IF(D392="",1,(角色MOD表[属性]="")+ISNUMBER(FIND(D392,角色MOD表[属性]))),0),2),INDEX(武器MOD表[],MATCH(1,(武器MOD表[名称]=A392)*(武器MOD表[品质]=E392)*((武器MOD表[类型]=C392)+(武器MOD表[限定]=C392)),0),2))</f>
        <v>狮鹫</v>
      </c>
      <c r="K392" s="10"/>
    </row>
    <row r="393" spans="1:11">
      <c r="A393" t="s">
        <v>998</v>
      </c>
      <c r="B393" s="50" t="s">
        <v>1207</v>
      </c>
      <c r="C393" t="s">
        <v>16</v>
      </c>
      <c r="D393" t="s">
        <v>72</v>
      </c>
      <c r="E393" t="s">
        <v>78</v>
      </c>
      <c r="F393">
        <f t="array" ref="F393">SUM(_xlfn.MAP(_xlfn.SEQUENCE(4),_xlfn.LAMBDA(_xlpm.i,POWER(36,4-_xlpm.i)*_xlfn.MAP(MID(代码表[[#This Row],[代码]],_xlpm.i,1),_xlfn.LAMBDA(_xlpm.a,IF(CODE(_xlpm.a)&gt;64,CODE(_xlpm.a)-55,CODE(_xlpm.a)-48))))))</f>
        <v>51336</v>
      </c>
      <c r="G393" s="10" t="str">
        <f t="array" ref="G393">IFERROR(INDEX(角色MOD表[],MATCH(1,(角色MOD表[名称]=A393)*(角色MOD表[品质]=E393)*IF(D393="",1,(角色MOD表[属性]="")+ISNUMBER(FIND(D393,角色MOD表[属性]))),0),2),INDEX(武器MOD表[],MATCH(1,(武器MOD表[名称]=A393)*(武器MOD表[品质]=E393)*((武器MOD表[类型]=C393)+(武器MOD表[限定]=C393)),0),2))</f>
        <v>狮鹫</v>
      </c>
      <c r="K393" s="10"/>
    </row>
    <row r="394" spans="1:11">
      <c r="A394" t="s">
        <v>1000</v>
      </c>
      <c r="B394" s="50" t="s">
        <v>1208</v>
      </c>
      <c r="C394" t="s">
        <v>16</v>
      </c>
      <c r="D394" t="s">
        <v>79</v>
      </c>
      <c r="E394" t="s">
        <v>78</v>
      </c>
      <c r="F394">
        <f t="array" ref="F394">SUM(_xlfn.MAP(_xlfn.SEQUENCE(4),_xlfn.LAMBDA(_xlpm.i,POWER(36,4-_xlpm.i)*_xlfn.MAP(MID(代码表[[#This Row],[代码]],_xlpm.i,1),_xlfn.LAMBDA(_xlpm.a,IF(CODE(_xlpm.a)&gt;64,CODE(_xlpm.a)-55,CODE(_xlpm.a)-48))))))</f>
        <v>51411</v>
      </c>
      <c r="G394" s="10" t="str">
        <f t="array" ref="G394">IFERROR(INDEX(角色MOD表[],MATCH(1,(角色MOD表[名称]=A394)*(角色MOD表[品质]=E394)*IF(D394="",1,(角色MOD表[属性]="")+ISNUMBER(FIND(D394,角色MOD表[属性]))),0),2),INDEX(武器MOD表[],MATCH(1,(武器MOD表[名称]=A394)*(武器MOD表[品质]=E394)*((武器MOD表[类型]=C394)+(武器MOD表[限定]=C394)),0),2))</f>
        <v>百首</v>
      </c>
      <c r="K394" s="10"/>
    </row>
    <row r="395" spans="1:11">
      <c r="A395" t="s">
        <v>77</v>
      </c>
      <c r="B395" s="50" t="s">
        <v>1209</v>
      </c>
      <c r="C395" t="s">
        <v>16</v>
      </c>
      <c r="D395" t="s">
        <v>79</v>
      </c>
      <c r="E395" t="s">
        <v>78</v>
      </c>
      <c r="F395">
        <f t="array" ref="F395">SUM(_xlfn.MAP(_xlfn.SEQUENCE(4),_xlfn.LAMBDA(_xlpm.i,POWER(36,4-_xlpm.i)*_xlfn.MAP(MID(代码表[[#This Row],[代码]],_xlpm.i,1),_xlfn.LAMBDA(_xlpm.a,IF(CODE(_xlpm.a)&gt;64,CODE(_xlpm.a)-55,CODE(_xlpm.a)-48))))))</f>
        <v>51412</v>
      </c>
      <c r="G395" s="10" t="str">
        <f t="array" ref="G395">IFERROR(INDEX(角色MOD表[],MATCH(1,(角色MOD表[名称]=A395)*(角色MOD表[品质]=E395)*IF(D395="",1,(角色MOD表[属性]="")+ISNUMBER(FIND(D395,角色MOD表[属性]))),0),2),INDEX(武器MOD表[],MATCH(1,(武器MOD表[名称]=A395)*(武器MOD表[品质]=E395)*((武器MOD表[类型]=C395)+(武器MOD表[限定]=C395)),0),2))</f>
        <v>百首</v>
      </c>
      <c r="K395" s="10"/>
    </row>
    <row r="396" spans="1:11">
      <c r="A396" t="s">
        <v>1003</v>
      </c>
      <c r="B396" s="50" t="s">
        <v>1210</v>
      </c>
      <c r="C396" t="s">
        <v>16</v>
      </c>
      <c r="D396" t="s">
        <v>79</v>
      </c>
      <c r="E396" t="s">
        <v>78</v>
      </c>
      <c r="F396">
        <f t="array" ref="F396">SUM(_xlfn.MAP(_xlfn.SEQUENCE(4),_xlfn.LAMBDA(_xlpm.i,POWER(36,4-_xlpm.i)*_xlfn.MAP(MID(代码表[[#This Row],[代码]],_xlpm.i,1),_xlfn.LAMBDA(_xlpm.a,IF(CODE(_xlpm.a)&gt;64,CODE(_xlpm.a)-55,CODE(_xlpm.a)-48))))))</f>
        <v>51413</v>
      </c>
      <c r="G396" s="10" t="str">
        <f t="array" ref="G396">IFERROR(INDEX(角色MOD表[],MATCH(1,(角色MOD表[名称]=A396)*(角色MOD表[品质]=E396)*IF(D396="",1,(角色MOD表[属性]="")+ISNUMBER(FIND(D396,角色MOD表[属性]))),0),2),INDEX(武器MOD表[],MATCH(1,(武器MOD表[名称]=A396)*(武器MOD表[品质]=E396)*((武器MOD表[类型]=C396)+(武器MOD表[限定]=C396)),0),2))</f>
        <v>百首</v>
      </c>
      <c r="K396" s="10"/>
    </row>
    <row r="397" spans="1:11">
      <c r="A397" t="s">
        <v>117</v>
      </c>
      <c r="B397" s="50" t="s">
        <v>1211</v>
      </c>
      <c r="C397" t="s">
        <v>16</v>
      </c>
      <c r="D397" t="s">
        <v>79</v>
      </c>
      <c r="E397" t="s">
        <v>78</v>
      </c>
      <c r="F397">
        <f t="array" ref="F397">SUM(_xlfn.MAP(_xlfn.SEQUENCE(4),_xlfn.LAMBDA(_xlpm.i,POWER(36,4-_xlpm.i)*_xlfn.MAP(MID(代码表[[#This Row],[代码]],_xlpm.i,1),_xlfn.LAMBDA(_xlpm.a,IF(CODE(_xlpm.a)&gt;64,CODE(_xlpm.a)-55,CODE(_xlpm.a)-48))))))</f>
        <v>51414</v>
      </c>
      <c r="G397" s="10" t="str">
        <f t="array" ref="G397">IFERROR(INDEX(角色MOD表[],MATCH(1,(角色MOD表[名称]=A397)*(角色MOD表[品质]=E397)*IF(D397="",1,(角色MOD表[属性]="")+ISNUMBER(FIND(D397,角色MOD表[属性]))),0),2),INDEX(武器MOD表[],MATCH(1,(武器MOD表[名称]=A397)*(武器MOD表[品质]=E397)*((武器MOD表[类型]=C397)+(武器MOD表[限定]=C397)),0),2))</f>
        <v>百首</v>
      </c>
      <c r="K397" s="10"/>
    </row>
    <row r="398" spans="1:11">
      <c r="A398" t="s">
        <v>95</v>
      </c>
      <c r="B398" s="50" t="s">
        <v>1212</v>
      </c>
      <c r="C398" t="s">
        <v>16</v>
      </c>
      <c r="D398" t="s">
        <v>79</v>
      </c>
      <c r="E398" t="s">
        <v>78</v>
      </c>
      <c r="F398">
        <f t="array" ref="F398">SUM(_xlfn.MAP(_xlfn.SEQUENCE(4),_xlfn.LAMBDA(_xlpm.i,POWER(36,4-_xlpm.i)*_xlfn.MAP(MID(代码表[[#This Row],[代码]],_xlpm.i,1),_xlfn.LAMBDA(_xlpm.a,IF(CODE(_xlpm.a)&gt;64,CODE(_xlpm.a)-55,CODE(_xlpm.a)-48))))))</f>
        <v>51415</v>
      </c>
      <c r="G398" s="10" t="str">
        <f t="array" ref="G398">IFERROR(INDEX(角色MOD表[],MATCH(1,(角色MOD表[名称]=A398)*(角色MOD表[品质]=E398)*IF(D398="",1,(角色MOD表[属性]="")+ISNUMBER(FIND(D398,角色MOD表[属性]))),0),2),INDEX(武器MOD表[],MATCH(1,(武器MOD表[名称]=A398)*(武器MOD表[品质]=E398)*((武器MOD表[类型]=C398)+(武器MOD表[限定]=C398)),0),2))</f>
        <v>百首</v>
      </c>
      <c r="K398" s="10"/>
    </row>
    <row r="399" spans="1:11">
      <c r="A399" t="s">
        <v>1000</v>
      </c>
      <c r="B399" s="50" t="s">
        <v>1213</v>
      </c>
      <c r="C399" t="s">
        <v>16</v>
      </c>
      <c r="D399" t="s">
        <v>23</v>
      </c>
      <c r="E399" t="s">
        <v>78</v>
      </c>
      <c r="F399">
        <f t="array" ref="F399">SUM(_xlfn.MAP(_xlfn.SEQUENCE(4),_xlfn.LAMBDA(_xlpm.i,POWER(36,4-_xlpm.i)*_xlfn.MAP(MID(代码表[[#This Row],[代码]],_xlpm.i,1),_xlfn.LAMBDA(_xlpm.a,IF(CODE(_xlpm.a)&gt;64,CODE(_xlpm.a)-55,CODE(_xlpm.a)-48))))))</f>
        <v>51421</v>
      </c>
      <c r="G399" s="10" t="str">
        <f t="array" ref="G399">IFERROR(INDEX(角色MOD表[],MATCH(1,(角色MOD表[名称]=A399)*(角色MOD表[品质]=E399)*IF(D399="",1,(角色MOD表[属性]="")+ISNUMBER(FIND(D399,角色MOD表[属性]))),0),2),INDEX(武器MOD表[],MATCH(1,(武器MOD表[名称]=A399)*(武器MOD表[品质]=E399)*((武器MOD表[类型]=C399)+(武器MOD表[限定]=C399)),0),2))</f>
        <v>百首</v>
      </c>
      <c r="K399" s="10"/>
    </row>
    <row r="400" spans="1:11">
      <c r="A400" t="s">
        <v>77</v>
      </c>
      <c r="B400" s="50" t="s">
        <v>1214</v>
      </c>
      <c r="C400" t="s">
        <v>16</v>
      </c>
      <c r="D400" t="s">
        <v>23</v>
      </c>
      <c r="E400" t="s">
        <v>78</v>
      </c>
      <c r="F400">
        <f t="array" ref="F400">SUM(_xlfn.MAP(_xlfn.SEQUENCE(4),_xlfn.LAMBDA(_xlpm.i,POWER(36,4-_xlpm.i)*_xlfn.MAP(MID(代码表[[#This Row],[代码]],_xlpm.i,1),_xlfn.LAMBDA(_xlpm.a,IF(CODE(_xlpm.a)&gt;64,CODE(_xlpm.a)-55,CODE(_xlpm.a)-48))))))</f>
        <v>51422</v>
      </c>
      <c r="G400" s="10" t="str">
        <f t="array" ref="G400">IFERROR(INDEX(角色MOD表[],MATCH(1,(角色MOD表[名称]=A400)*(角色MOD表[品质]=E400)*IF(D400="",1,(角色MOD表[属性]="")+ISNUMBER(FIND(D400,角色MOD表[属性]))),0),2),INDEX(武器MOD表[],MATCH(1,(武器MOD表[名称]=A400)*(武器MOD表[品质]=E400)*((武器MOD表[类型]=C400)+(武器MOD表[限定]=C400)),0),2))</f>
        <v>百首</v>
      </c>
      <c r="K400" s="10"/>
    </row>
    <row r="401" spans="1:11">
      <c r="A401" t="s">
        <v>1003</v>
      </c>
      <c r="B401" s="50" t="s">
        <v>1215</v>
      </c>
      <c r="C401" t="s">
        <v>16</v>
      </c>
      <c r="D401" t="s">
        <v>23</v>
      </c>
      <c r="E401" t="s">
        <v>78</v>
      </c>
      <c r="F401">
        <f t="array" ref="F401">SUM(_xlfn.MAP(_xlfn.SEQUENCE(4),_xlfn.LAMBDA(_xlpm.i,POWER(36,4-_xlpm.i)*_xlfn.MAP(MID(代码表[[#This Row],[代码]],_xlpm.i,1),_xlfn.LAMBDA(_xlpm.a,IF(CODE(_xlpm.a)&gt;64,CODE(_xlpm.a)-55,CODE(_xlpm.a)-48))))))</f>
        <v>51423</v>
      </c>
      <c r="G401" s="10" t="str">
        <f t="array" ref="G401">IFERROR(INDEX(角色MOD表[],MATCH(1,(角色MOD表[名称]=A401)*(角色MOD表[品质]=E401)*IF(D401="",1,(角色MOD表[属性]="")+ISNUMBER(FIND(D401,角色MOD表[属性]))),0),2),INDEX(武器MOD表[],MATCH(1,(武器MOD表[名称]=A401)*(武器MOD表[品质]=E401)*((武器MOD表[类型]=C401)+(武器MOD表[限定]=C401)),0),2))</f>
        <v>百首</v>
      </c>
      <c r="K401" s="10"/>
    </row>
    <row r="402" spans="1:11">
      <c r="A402" t="s">
        <v>117</v>
      </c>
      <c r="B402" s="50" t="s">
        <v>1216</v>
      </c>
      <c r="C402" t="s">
        <v>16</v>
      </c>
      <c r="D402" t="s">
        <v>23</v>
      </c>
      <c r="E402" t="s">
        <v>78</v>
      </c>
      <c r="F402">
        <f t="array" ref="F402">SUM(_xlfn.MAP(_xlfn.SEQUENCE(4),_xlfn.LAMBDA(_xlpm.i,POWER(36,4-_xlpm.i)*_xlfn.MAP(MID(代码表[[#This Row],[代码]],_xlpm.i,1),_xlfn.LAMBDA(_xlpm.a,IF(CODE(_xlpm.a)&gt;64,CODE(_xlpm.a)-55,CODE(_xlpm.a)-48))))))</f>
        <v>51424</v>
      </c>
      <c r="G402" s="10" t="str">
        <f t="array" ref="G402">IFERROR(INDEX(角色MOD表[],MATCH(1,(角色MOD表[名称]=A402)*(角色MOD表[品质]=E402)*IF(D402="",1,(角色MOD表[属性]="")+ISNUMBER(FIND(D402,角色MOD表[属性]))),0),2),INDEX(武器MOD表[],MATCH(1,(武器MOD表[名称]=A402)*(武器MOD表[品质]=E402)*((武器MOD表[类型]=C402)+(武器MOD表[限定]=C402)),0),2))</f>
        <v>百首</v>
      </c>
      <c r="K402" s="10"/>
    </row>
    <row r="403" spans="1:11">
      <c r="A403" t="s">
        <v>95</v>
      </c>
      <c r="B403" s="50" t="s">
        <v>1217</v>
      </c>
      <c r="C403" t="s">
        <v>16</v>
      </c>
      <c r="D403" t="s">
        <v>23</v>
      </c>
      <c r="E403" t="s">
        <v>78</v>
      </c>
      <c r="F403">
        <f t="array" ref="F403">SUM(_xlfn.MAP(_xlfn.SEQUENCE(4),_xlfn.LAMBDA(_xlpm.i,POWER(36,4-_xlpm.i)*_xlfn.MAP(MID(代码表[[#This Row],[代码]],_xlpm.i,1),_xlfn.LAMBDA(_xlpm.a,IF(CODE(_xlpm.a)&gt;64,CODE(_xlpm.a)-55,CODE(_xlpm.a)-48))))))</f>
        <v>51425</v>
      </c>
      <c r="G403" s="10" t="str">
        <f t="array" ref="G403">IFERROR(INDEX(角色MOD表[],MATCH(1,(角色MOD表[名称]=A403)*(角色MOD表[品质]=E403)*IF(D403="",1,(角色MOD表[属性]="")+ISNUMBER(FIND(D403,角色MOD表[属性]))),0),2),INDEX(武器MOD表[],MATCH(1,(武器MOD表[名称]=A403)*(武器MOD表[品质]=E403)*((武器MOD表[类型]=C403)+(武器MOD表[限定]=C403)),0),2))</f>
        <v>百首</v>
      </c>
      <c r="K403" s="10"/>
    </row>
    <row r="404" spans="1:11">
      <c r="A404" t="s">
        <v>1000</v>
      </c>
      <c r="B404" s="50" t="s">
        <v>1218</v>
      </c>
      <c r="C404" t="s">
        <v>16</v>
      </c>
      <c r="D404" t="s">
        <v>37</v>
      </c>
      <c r="E404" t="s">
        <v>78</v>
      </c>
      <c r="F404">
        <f t="array" ref="F404">SUM(_xlfn.MAP(_xlfn.SEQUENCE(4),_xlfn.LAMBDA(_xlpm.i,POWER(36,4-_xlpm.i)*_xlfn.MAP(MID(代码表[[#This Row],[代码]],_xlpm.i,1),_xlfn.LAMBDA(_xlpm.a,IF(CODE(_xlpm.a)&gt;64,CODE(_xlpm.a)-55,CODE(_xlpm.a)-48))))))</f>
        <v>51431</v>
      </c>
      <c r="G404" s="10" t="str">
        <f t="array" ref="G404">IFERROR(INDEX(角色MOD表[],MATCH(1,(角色MOD表[名称]=A404)*(角色MOD表[品质]=E404)*IF(D404="",1,(角色MOD表[属性]="")+ISNUMBER(FIND(D404,角色MOD表[属性]))),0),2),INDEX(武器MOD表[],MATCH(1,(武器MOD表[名称]=A404)*(武器MOD表[品质]=E404)*((武器MOD表[类型]=C404)+(武器MOD表[限定]=C404)),0),2))</f>
        <v>百首</v>
      </c>
      <c r="K404" s="10"/>
    </row>
    <row r="405" spans="1:11">
      <c r="A405" t="s">
        <v>77</v>
      </c>
      <c r="B405" s="50" t="s">
        <v>1219</v>
      </c>
      <c r="C405" t="s">
        <v>16</v>
      </c>
      <c r="D405" t="s">
        <v>37</v>
      </c>
      <c r="E405" t="s">
        <v>78</v>
      </c>
      <c r="F405">
        <f t="array" ref="F405">SUM(_xlfn.MAP(_xlfn.SEQUENCE(4),_xlfn.LAMBDA(_xlpm.i,POWER(36,4-_xlpm.i)*_xlfn.MAP(MID(代码表[[#This Row],[代码]],_xlpm.i,1),_xlfn.LAMBDA(_xlpm.a,IF(CODE(_xlpm.a)&gt;64,CODE(_xlpm.a)-55,CODE(_xlpm.a)-48))))))</f>
        <v>51432</v>
      </c>
      <c r="G405" s="10" t="str">
        <f t="array" ref="G405">IFERROR(INDEX(角色MOD表[],MATCH(1,(角色MOD表[名称]=A405)*(角色MOD表[品质]=E405)*IF(D405="",1,(角色MOD表[属性]="")+ISNUMBER(FIND(D405,角色MOD表[属性]))),0),2),INDEX(武器MOD表[],MATCH(1,(武器MOD表[名称]=A405)*(武器MOD表[品质]=E405)*((武器MOD表[类型]=C405)+(武器MOD表[限定]=C405)),0),2))</f>
        <v>百首</v>
      </c>
      <c r="K405" s="10"/>
    </row>
    <row r="406" spans="1:11">
      <c r="A406" t="s">
        <v>1003</v>
      </c>
      <c r="B406" s="50" t="s">
        <v>1220</v>
      </c>
      <c r="C406" t="s">
        <v>16</v>
      </c>
      <c r="D406" t="s">
        <v>37</v>
      </c>
      <c r="E406" t="s">
        <v>78</v>
      </c>
      <c r="F406">
        <f t="array" ref="F406">SUM(_xlfn.MAP(_xlfn.SEQUENCE(4),_xlfn.LAMBDA(_xlpm.i,POWER(36,4-_xlpm.i)*_xlfn.MAP(MID(代码表[[#This Row],[代码]],_xlpm.i,1),_xlfn.LAMBDA(_xlpm.a,IF(CODE(_xlpm.a)&gt;64,CODE(_xlpm.a)-55,CODE(_xlpm.a)-48))))))</f>
        <v>51433</v>
      </c>
      <c r="G406" s="10" t="str">
        <f t="array" ref="G406">IFERROR(INDEX(角色MOD表[],MATCH(1,(角色MOD表[名称]=A406)*(角色MOD表[品质]=E406)*IF(D406="",1,(角色MOD表[属性]="")+ISNUMBER(FIND(D406,角色MOD表[属性]))),0),2),INDEX(武器MOD表[],MATCH(1,(武器MOD表[名称]=A406)*(武器MOD表[品质]=E406)*((武器MOD表[类型]=C406)+(武器MOD表[限定]=C406)),0),2))</f>
        <v>百首</v>
      </c>
      <c r="K406" s="10"/>
    </row>
    <row r="407" spans="1:11">
      <c r="A407" t="s">
        <v>117</v>
      </c>
      <c r="B407" s="50" t="s">
        <v>1221</v>
      </c>
      <c r="C407" t="s">
        <v>16</v>
      </c>
      <c r="D407" t="s">
        <v>37</v>
      </c>
      <c r="E407" t="s">
        <v>78</v>
      </c>
      <c r="F407">
        <f t="array" ref="F407">SUM(_xlfn.MAP(_xlfn.SEQUENCE(4),_xlfn.LAMBDA(_xlpm.i,POWER(36,4-_xlpm.i)*_xlfn.MAP(MID(代码表[[#This Row],[代码]],_xlpm.i,1),_xlfn.LAMBDA(_xlpm.a,IF(CODE(_xlpm.a)&gt;64,CODE(_xlpm.a)-55,CODE(_xlpm.a)-48))))))</f>
        <v>51434</v>
      </c>
      <c r="G407" s="10" t="str">
        <f t="array" ref="G407">IFERROR(INDEX(角色MOD表[],MATCH(1,(角色MOD表[名称]=A407)*(角色MOD表[品质]=E407)*IF(D407="",1,(角色MOD表[属性]="")+ISNUMBER(FIND(D407,角色MOD表[属性]))),0),2),INDEX(武器MOD表[],MATCH(1,(武器MOD表[名称]=A407)*(武器MOD表[品质]=E407)*((武器MOD表[类型]=C407)+(武器MOD表[限定]=C407)),0),2))</f>
        <v>百首</v>
      </c>
      <c r="K407" s="10"/>
    </row>
    <row r="408" spans="1:11">
      <c r="A408" t="s">
        <v>95</v>
      </c>
      <c r="B408" s="50" t="s">
        <v>1222</v>
      </c>
      <c r="C408" t="s">
        <v>16</v>
      </c>
      <c r="D408" t="s">
        <v>37</v>
      </c>
      <c r="E408" t="s">
        <v>78</v>
      </c>
      <c r="F408">
        <f t="array" ref="F408">SUM(_xlfn.MAP(_xlfn.SEQUENCE(4),_xlfn.LAMBDA(_xlpm.i,POWER(36,4-_xlpm.i)*_xlfn.MAP(MID(代码表[[#This Row],[代码]],_xlpm.i,1),_xlfn.LAMBDA(_xlpm.a,IF(CODE(_xlpm.a)&gt;64,CODE(_xlpm.a)-55,CODE(_xlpm.a)-48))))))</f>
        <v>51435</v>
      </c>
      <c r="G408" s="10" t="str">
        <f t="array" ref="G408">IFERROR(INDEX(角色MOD表[],MATCH(1,(角色MOD表[名称]=A408)*(角色MOD表[品质]=E408)*IF(D408="",1,(角色MOD表[属性]="")+ISNUMBER(FIND(D408,角色MOD表[属性]))),0),2),INDEX(武器MOD表[],MATCH(1,(武器MOD表[名称]=A408)*(武器MOD表[品质]=E408)*((武器MOD表[类型]=C408)+(武器MOD表[限定]=C408)),0),2))</f>
        <v>百首</v>
      </c>
      <c r="K408" s="10"/>
    </row>
    <row r="409" spans="1:11">
      <c r="A409" t="s">
        <v>1000</v>
      </c>
      <c r="B409" s="50" t="s">
        <v>1223</v>
      </c>
      <c r="C409" t="s">
        <v>16</v>
      </c>
      <c r="D409" t="s">
        <v>10</v>
      </c>
      <c r="E409" t="s">
        <v>78</v>
      </c>
      <c r="F409">
        <f t="array" ref="F409">SUM(_xlfn.MAP(_xlfn.SEQUENCE(4),_xlfn.LAMBDA(_xlpm.i,POWER(36,4-_xlpm.i)*_xlfn.MAP(MID(代码表[[#This Row],[代码]],_xlpm.i,1),_xlfn.LAMBDA(_xlpm.a,IF(CODE(_xlpm.a)&gt;64,CODE(_xlpm.a)-55,CODE(_xlpm.a)-48))))))</f>
        <v>51441</v>
      </c>
      <c r="G409" s="10" t="str">
        <f t="array" ref="G409">IFERROR(INDEX(角色MOD表[],MATCH(1,(角色MOD表[名称]=A409)*(角色MOD表[品质]=E409)*IF(D409="",1,(角色MOD表[属性]="")+ISNUMBER(FIND(D409,角色MOD表[属性]))),0),2),INDEX(武器MOD表[],MATCH(1,(武器MOD表[名称]=A409)*(武器MOD表[品质]=E409)*((武器MOD表[类型]=C409)+(武器MOD表[限定]=C409)),0),2))</f>
        <v>百首</v>
      </c>
      <c r="K409" s="10"/>
    </row>
    <row r="410" spans="1:11">
      <c r="A410" t="s">
        <v>77</v>
      </c>
      <c r="B410" s="50" t="s">
        <v>1224</v>
      </c>
      <c r="C410" t="s">
        <v>16</v>
      </c>
      <c r="D410" t="s">
        <v>10</v>
      </c>
      <c r="E410" t="s">
        <v>78</v>
      </c>
      <c r="F410">
        <f t="array" ref="F410">SUM(_xlfn.MAP(_xlfn.SEQUENCE(4),_xlfn.LAMBDA(_xlpm.i,POWER(36,4-_xlpm.i)*_xlfn.MAP(MID(代码表[[#This Row],[代码]],_xlpm.i,1),_xlfn.LAMBDA(_xlpm.a,IF(CODE(_xlpm.a)&gt;64,CODE(_xlpm.a)-55,CODE(_xlpm.a)-48))))))</f>
        <v>51442</v>
      </c>
      <c r="G410" s="10" t="str">
        <f t="array" ref="G410">IFERROR(INDEX(角色MOD表[],MATCH(1,(角色MOD表[名称]=A410)*(角色MOD表[品质]=E410)*IF(D410="",1,(角色MOD表[属性]="")+ISNUMBER(FIND(D410,角色MOD表[属性]))),0),2),INDEX(武器MOD表[],MATCH(1,(武器MOD表[名称]=A410)*(武器MOD表[品质]=E410)*((武器MOD表[类型]=C410)+(武器MOD表[限定]=C410)),0),2))</f>
        <v>百首</v>
      </c>
      <c r="K410" s="10"/>
    </row>
    <row r="411" spans="1:11">
      <c r="A411" t="s">
        <v>1003</v>
      </c>
      <c r="B411" s="50" t="s">
        <v>1225</v>
      </c>
      <c r="C411" t="s">
        <v>16</v>
      </c>
      <c r="D411" t="s">
        <v>10</v>
      </c>
      <c r="E411" t="s">
        <v>78</v>
      </c>
      <c r="F411">
        <f t="array" ref="F411">SUM(_xlfn.MAP(_xlfn.SEQUENCE(4),_xlfn.LAMBDA(_xlpm.i,POWER(36,4-_xlpm.i)*_xlfn.MAP(MID(代码表[[#This Row],[代码]],_xlpm.i,1),_xlfn.LAMBDA(_xlpm.a,IF(CODE(_xlpm.a)&gt;64,CODE(_xlpm.a)-55,CODE(_xlpm.a)-48))))))</f>
        <v>51443</v>
      </c>
      <c r="G411" s="10" t="str">
        <f t="array" ref="G411">IFERROR(INDEX(角色MOD表[],MATCH(1,(角色MOD表[名称]=A411)*(角色MOD表[品质]=E411)*IF(D411="",1,(角色MOD表[属性]="")+ISNUMBER(FIND(D411,角色MOD表[属性]))),0),2),INDEX(武器MOD表[],MATCH(1,(武器MOD表[名称]=A411)*(武器MOD表[品质]=E411)*((武器MOD表[类型]=C411)+(武器MOD表[限定]=C411)),0),2))</f>
        <v>百首</v>
      </c>
      <c r="K411" s="10"/>
    </row>
    <row r="412" spans="1:11">
      <c r="A412" t="s">
        <v>117</v>
      </c>
      <c r="B412" s="50" t="s">
        <v>1226</v>
      </c>
      <c r="C412" t="s">
        <v>16</v>
      </c>
      <c r="D412" t="s">
        <v>10</v>
      </c>
      <c r="E412" t="s">
        <v>78</v>
      </c>
      <c r="F412">
        <f t="array" ref="F412">SUM(_xlfn.MAP(_xlfn.SEQUENCE(4),_xlfn.LAMBDA(_xlpm.i,POWER(36,4-_xlpm.i)*_xlfn.MAP(MID(代码表[[#This Row],[代码]],_xlpm.i,1),_xlfn.LAMBDA(_xlpm.a,IF(CODE(_xlpm.a)&gt;64,CODE(_xlpm.a)-55,CODE(_xlpm.a)-48))))))</f>
        <v>51444</v>
      </c>
      <c r="G412" s="10" t="str">
        <f t="array" ref="G412">IFERROR(INDEX(角色MOD表[],MATCH(1,(角色MOD表[名称]=A412)*(角色MOD表[品质]=E412)*IF(D412="",1,(角色MOD表[属性]="")+ISNUMBER(FIND(D412,角色MOD表[属性]))),0),2),INDEX(武器MOD表[],MATCH(1,(武器MOD表[名称]=A412)*(武器MOD表[品质]=E412)*((武器MOD表[类型]=C412)+(武器MOD表[限定]=C412)),0),2))</f>
        <v>百首</v>
      </c>
      <c r="K412" s="10"/>
    </row>
    <row r="413" spans="1:11">
      <c r="A413" t="s">
        <v>95</v>
      </c>
      <c r="B413" s="50" t="s">
        <v>1227</v>
      </c>
      <c r="C413" t="s">
        <v>16</v>
      </c>
      <c r="D413" t="s">
        <v>10</v>
      </c>
      <c r="E413" t="s">
        <v>78</v>
      </c>
      <c r="F413">
        <f t="array" ref="F413">SUM(_xlfn.MAP(_xlfn.SEQUENCE(4),_xlfn.LAMBDA(_xlpm.i,POWER(36,4-_xlpm.i)*_xlfn.MAP(MID(代码表[[#This Row],[代码]],_xlpm.i,1),_xlfn.LAMBDA(_xlpm.a,IF(CODE(_xlpm.a)&gt;64,CODE(_xlpm.a)-55,CODE(_xlpm.a)-48))))))</f>
        <v>51445</v>
      </c>
      <c r="G413" s="10" t="str">
        <f t="array" ref="G413">IFERROR(INDEX(角色MOD表[],MATCH(1,(角色MOD表[名称]=A413)*(角色MOD表[品质]=E413)*IF(D413="",1,(角色MOD表[属性]="")+ISNUMBER(FIND(D413,角色MOD表[属性]))),0),2),INDEX(武器MOD表[],MATCH(1,(武器MOD表[名称]=A413)*(武器MOD表[品质]=E413)*((武器MOD表[类型]=C413)+(武器MOD表[限定]=C413)),0),2))</f>
        <v>百首</v>
      </c>
      <c r="K413" s="10"/>
    </row>
    <row r="414" spans="1:11">
      <c r="A414" t="s">
        <v>1000</v>
      </c>
      <c r="B414" s="50" t="s">
        <v>1228</v>
      </c>
      <c r="C414" t="s">
        <v>16</v>
      </c>
      <c r="D414" t="s">
        <v>43</v>
      </c>
      <c r="E414" t="s">
        <v>78</v>
      </c>
      <c r="F414">
        <f t="array" ref="F414">SUM(_xlfn.MAP(_xlfn.SEQUENCE(4),_xlfn.LAMBDA(_xlpm.i,POWER(36,4-_xlpm.i)*_xlfn.MAP(MID(代码表[[#This Row],[代码]],_xlpm.i,1),_xlfn.LAMBDA(_xlpm.a,IF(CODE(_xlpm.a)&gt;64,CODE(_xlpm.a)-55,CODE(_xlpm.a)-48))))))</f>
        <v>51451</v>
      </c>
      <c r="G414" s="10" t="str">
        <f t="array" ref="G414">IFERROR(INDEX(角色MOD表[],MATCH(1,(角色MOD表[名称]=A414)*(角色MOD表[品质]=E414)*IF(D414="",1,(角色MOD表[属性]="")+ISNUMBER(FIND(D414,角色MOD表[属性]))),0),2),INDEX(武器MOD表[],MATCH(1,(武器MOD表[名称]=A414)*(武器MOD表[品质]=E414)*((武器MOD表[类型]=C414)+(武器MOD表[限定]=C414)),0),2))</f>
        <v>百首</v>
      </c>
      <c r="K414" s="10"/>
    </row>
    <row r="415" spans="1:11">
      <c r="A415" t="s">
        <v>77</v>
      </c>
      <c r="B415" s="50" t="s">
        <v>1229</v>
      </c>
      <c r="C415" t="s">
        <v>16</v>
      </c>
      <c r="D415" t="s">
        <v>43</v>
      </c>
      <c r="E415" t="s">
        <v>78</v>
      </c>
      <c r="F415">
        <f t="array" ref="F415">SUM(_xlfn.MAP(_xlfn.SEQUENCE(4),_xlfn.LAMBDA(_xlpm.i,POWER(36,4-_xlpm.i)*_xlfn.MAP(MID(代码表[[#This Row],[代码]],_xlpm.i,1),_xlfn.LAMBDA(_xlpm.a,IF(CODE(_xlpm.a)&gt;64,CODE(_xlpm.a)-55,CODE(_xlpm.a)-48))))))</f>
        <v>51452</v>
      </c>
      <c r="G415" s="10" t="str">
        <f t="array" ref="G415">IFERROR(INDEX(角色MOD表[],MATCH(1,(角色MOD表[名称]=A415)*(角色MOD表[品质]=E415)*IF(D415="",1,(角色MOD表[属性]="")+ISNUMBER(FIND(D415,角色MOD表[属性]))),0),2),INDEX(武器MOD表[],MATCH(1,(武器MOD表[名称]=A415)*(武器MOD表[品质]=E415)*((武器MOD表[类型]=C415)+(武器MOD表[限定]=C415)),0),2))</f>
        <v>百首</v>
      </c>
      <c r="K415" s="10"/>
    </row>
    <row r="416" spans="1:11">
      <c r="A416" t="s">
        <v>1003</v>
      </c>
      <c r="B416" s="50" t="s">
        <v>1230</v>
      </c>
      <c r="C416" t="s">
        <v>16</v>
      </c>
      <c r="D416" t="s">
        <v>43</v>
      </c>
      <c r="E416" t="s">
        <v>78</v>
      </c>
      <c r="F416">
        <f t="array" ref="F416">SUM(_xlfn.MAP(_xlfn.SEQUENCE(4),_xlfn.LAMBDA(_xlpm.i,POWER(36,4-_xlpm.i)*_xlfn.MAP(MID(代码表[[#This Row],[代码]],_xlpm.i,1),_xlfn.LAMBDA(_xlpm.a,IF(CODE(_xlpm.a)&gt;64,CODE(_xlpm.a)-55,CODE(_xlpm.a)-48))))))</f>
        <v>51453</v>
      </c>
      <c r="G416" s="10" t="str">
        <f t="array" ref="G416">IFERROR(INDEX(角色MOD表[],MATCH(1,(角色MOD表[名称]=A416)*(角色MOD表[品质]=E416)*IF(D416="",1,(角色MOD表[属性]="")+ISNUMBER(FIND(D416,角色MOD表[属性]))),0),2),INDEX(武器MOD表[],MATCH(1,(武器MOD表[名称]=A416)*(武器MOD表[品质]=E416)*((武器MOD表[类型]=C416)+(武器MOD表[限定]=C416)),0),2))</f>
        <v>百首</v>
      </c>
      <c r="K416" s="10"/>
    </row>
    <row r="417" spans="1:11">
      <c r="A417" t="s">
        <v>117</v>
      </c>
      <c r="B417" s="50" t="s">
        <v>1231</v>
      </c>
      <c r="C417" t="s">
        <v>16</v>
      </c>
      <c r="D417" t="s">
        <v>43</v>
      </c>
      <c r="E417" t="s">
        <v>78</v>
      </c>
      <c r="F417">
        <f t="array" ref="F417">SUM(_xlfn.MAP(_xlfn.SEQUENCE(4),_xlfn.LAMBDA(_xlpm.i,POWER(36,4-_xlpm.i)*_xlfn.MAP(MID(代码表[[#This Row],[代码]],_xlpm.i,1),_xlfn.LAMBDA(_xlpm.a,IF(CODE(_xlpm.a)&gt;64,CODE(_xlpm.a)-55,CODE(_xlpm.a)-48))))))</f>
        <v>51454</v>
      </c>
      <c r="G417" s="10" t="str">
        <f t="array" ref="G417">IFERROR(INDEX(角色MOD表[],MATCH(1,(角色MOD表[名称]=A417)*(角色MOD表[品质]=E417)*IF(D417="",1,(角色MOD表[属性]="")+ISNUMBER(FIND(D417,角色MOD表[属性]))),0),2),INDEX(武器MOD表[],MATCH(1,(武器MOD表[名称]=A417)*(武器MOD表[品质]=E417)*((武器MOD表[类型]=C417)+(武器MOD表[限定]=C417)),0),2))</f>
        <v>百首</v>
      </c>
      <c r="K417" s="10"/>
    </row>
    <row r="418" spans="1:7">
      <c r="A418" t="s">
        <v>95</v>
      </c>
      <c r="B418" s="50" t="s">
        <v>1232</v>
      </c>
      <c r="C418" t="s">
        <v>16</v>
      </c>
      <c r="D418" t="s">
        <v>43</v>
      </c>
      <c r="E418" t="s">
        <v>78</v>
      </c>
      <c r="F418">
        <f t="array" ref="F418">SUM(_xlfn.MAP(_xlfn.SEQUENCE(4),_xlfn.LAMBDA(_xlpm.i,POWER(36,4-_xlpm.i)*_xlfn.MAP(MID(代码表[[#This Row],[代码]],_xlpm.i,1),_xlfn.LAMBDA(_xlpm.a,IF(CODE(_xlpm.a)&gt;64,CODE(_xlpm.a)-55,CODE(_xlpm.a)-48))))))</f>
        <v>51455</v>
      </c>
      <c r="G418" s="10" t="str">
        <f t="array" ref="G418">IFERROR(INDEX(角色MOD表[],MATCH(1,(角色MOD表[名称]=A418)*(角色MOD表[品质]=E418)*IF(D418="",1,(角色MOD表[属性]="")+ISNUMBER(FIND(D418,角色MOD表[属性]))),0),2),INDEX(武器MOD表[],MATCH(1,(武器MOD表[名称]=A418)*(武器MOD表[品质]=E418)*((武器MOD表[类型]=C418)+(武器MOD表[限定]=C418)),0),2))</f>
        <v>百首</v>
      </c>
    </row>
    <row r="419" spans="1:7">
      <c r="A419" t="s">
        <v>1000</v>
      </c>
      <c r="B419" s="50" t="s">
        <v>1233</v>
      </c>
      <c r="C419" t="s">
        <v>16</v>
      </c>
      <c r="D419" t="s">
        <v>72</v>
      </c>
      <c r="E419" t="s">
        <v>78</v>
      </c>
      <c r="F419">
        <f t="array" ref="F419">SUM(_xlfn.MAP(_xlfn.SEQUENCE(4),_xlfn.LAMBDA(_xlpm.i,POWER(36,4-_xlpm.i)*_xlfn.MAP(MID(代码表[[#This Row],[代码]],_xlpm.i,1),_xlfn.LAMBDA(_xlpm.a,IF(CODE(_xlpm.a)&gt;64,CODE(_xlpm.a)-55,CODE(_xlpm.a)-48))))))</f>
        <v>51461</v>
      </c>
      <c r="G419" s="10" t="str">
        <f t="array" ref="G419">IFERROR(INDEX(角色MOD表[],MATCH(1,(角色MOD表[名称]=A419)*(角色MOD表[品质]=E419)*IF(D419="",1,(角色MOD表[属性]="")+ISNUMBER(FIND(D419,角色MOD表[属性]))),0),2),INDEX(武器MOD表[],MATCH(1,(武器MOD表[名称]=A419)*(武器MOD表[品质]=E419)*((武器MOD表[类型]=C419)+(武器MOD表[限定]=C419)),0),2))</f>
        <v>百首</v>
      </c>
    </row>
    <row r="420" spans="1:7">
      <c r="A420" t="s">
        <v>77</v>
      </c>
      <c r="B420" s="50" t="s">
        <v>1234</v>
      </c>
      <c r="C420" t="s">
        <v>16</v>
      </c>
      <c r="D420" t="s">
        <v>72</v>
      </c>
      <c r="E420" t="s">
        <v>78</v>
      </c>
      <c r="F420">
        <f t="array" ref="F420">SUM(_xlfn.MAP(_xlfn.SEQUENCE(4),_xlfn.LAMBDA(_xlpm.i,POWER(36,4-_xlpm.i)*_xlfn.MAP(MID(代码表[[#This Row],[代码]],_xlpm.i,1),_xlfn.LAMBDA(_xlpm.a,IF(CODE(_xlpm.a)&gt;64,CODE(_xlpm.a)-55,CODE(_xlpm.a)-48))))))</f>
        <v>51462</v>
      </c>
      <c r="G420" s="10" t="str">
        <f t="array" ref="G420">IFERROR(INDEX(角色MOD表[],MATCH(1,(角色MOD表[名称]=A420)*(角色MOD表[品质]=E420)*IF(D420="",1,(角色MOD表[属性]="")+ISNUMBER(FIND(D420,角色MOD表[属性]))),0),2),INDEX(武器MOD表[],MATCH(1,(武器MOD表[名称]=A420)*(武器MOD表[品质]=E420)*((武器MOD表[类型]=C420)+(武器MOD表[限定]=C420)),0),2))</f>
        <v>百首</v>
      </c>
    </row>
    <row r="421" spans="1:7">
      <c r="A421" t="s">
        <v>1003</v>
      </c>
      <c r="B421" s="50" t="s">
        <v>1235</v>
      </c>
      <c r="C421" t="s">
        <v>16</v>
      </c>
      <c r="D421" t="s">
        <v>72</v>
      </c>
      <c r="E421" t="s">
        <v>78</v>
      </c>
      <c r="F421">
        <f t="array" ref="F421">SUM(_xlfn.MAP(_xlfn.SEQUENCE(4),_xlfn.LAMBDA(_xlpm.i,POWER(36,4-_xlpm.i)*_xlfn.MAP(MID(代码表[[#This Row],[代码]],_xlpm.i,1),_xlfn.LAMBDA(_xlpm.a,IF(CODE(_xlpm.a)&gt;64,CODE(_xlpm.a)-55,CODE(_xlpm.a)-48))))))</f>
        <v>51463</v>
      </c>
      <c r="G421" s="10" t="str">
        <f t="array" ref="G421">IFERROR(INDEX(角色MOD表[],MATCH(1,(角色MOD表[名称]=A421)*(角色MOD表[品质]=E421)*IF(D421="",1,(角色MOD表[属性]="")+ISNUMBER(FIND(D421,角色MOD表[属性]))),0),2),INDEX(武器MOD表[],MATCH(1,(武器MOD表[名称]=A421)*(武器MOD表[品质]=E421)*((武器MOD表[类型]=C421)+(武器MOD表[限定]=C421)),0),2))</f>
        <v>百首</v>
      </c>
    </row>
    <row r="422" spans="1:13">
      <c r="A422" t="s">
        <v>117</v>
      </c>
      <c r="B422" s="50" t="s">
        <v>1236</v>
      </c>
      <c r="C422" t="s">
        <v>16</v>
      </c>
      <c r="D422" t="s">
        <v>72</v>
      </c>
      <c r="E422" t="s">
        <v>78</v>
      </c>
      <c r="F422">
        <f t="array" ref="F422">SUM(_xlfn.MAP(_xlfn.SEQUENCE(4),_xlfn.LAMBDA(_xlpm.i,POWER(36,4-_xlpm.i)*_xlfn.MAP(MID(代码表[[#This Row],[代码]],_xlpm.i,1),_xlfn.LAMBDA(_xlpm.a,IF(CODE(_xlpm.a)&gt;64,CODE(_xlpm.a)-55,CODE(_xlpm.a)-48))))))</f>
        <v>51464</v>
      </c>
      <c r="G422" s="10" t="str">
        <f t="array" ref="G422">IFERROR(INDEX(角色MOD表[],MATCH(1,(角色MOD表[名称]=A422)*(角色MOD表[品质]=E422)*IF(D422="",1,(角色MOD表[属性]="")+ISNUMBER(FIND(D422,角色MOD表[属性]))),0),2),INDEX(武器MOD表[],MATCH(1,(武器MOD表[名称]=A422)*(武器MOD表[品质]=E422)*((武器MOD表[类型]=C422)+(武器MOD表[限定]=C422)),0),2))</f>
        <v>百首</v>
      </c>
      <c r="M422" t="str">
        <f>MID(I422,10,4)</f>
        <v/>
      </c>
    </row>
    <row r="423" spans="1:7">
      <c r="A423" t="s">
        <v>95</v>
      </c>
      <c r="B423" s="50" t="s">
        <v>1237</v>
      </c>
      <c r="C423" t="s">
        <v>16</v>
      </c>
      <c r="D423" t="s">
        <v>72</v>
      </c>
      <c r="E423" t="s">
        <v>78</v>
      </c>
      <c r="F423">
        <f t="array" ref="F423">SUM(_xlfn.MAP(_xlfn.SEQUENCE(4),_xlfn.LAMBDA(_xlpm.i,POWER(36,4-_xlpm.i)*_xlfn.MAP(MID(代码表[[#This Row],[代码]],_xlpm.i,1),_xlfn.LAMBDA(_xlpm.a,IF(CODE(_xlpm.a)&gt;64,CODE(_xlpm.a)-55,CODE(_xlpm.a)-48))))))</f>
        <v>51465</v>
      </c>
      <c r="G423" s="10" t="str">
        <f t="array" ref="G423">IFERROR(INDEX(角色MOD表[],MATCH(1,(角色MOD表[名称]=A423)*(角色MOD表[品质]=E423)*IF(D423="",1,(角色MOD表[属性]="")+ISNUMBER(FIND(D423,角色MOD表[属性]))),0),2),INDEX(武器MOD表[],MATCH(1,(武器MOD表[名称]=A423)*(武器MOD表[品质]=E423)*((武器MOD表[类型]=C423)+(武器MOD表[限定]=C423)),0),2))</f>
        <v>百首</v>
      </c>
    </row>
    <row r="424" spans="1:7">
      <c r="A424" t="s">
        <v>74</v>
      </c>
      <c r="B424" s="50" t="s">
        <v>1238</v>
      </c>
      <c r="C424" t="s">
        <v>16</v>
      </c>
      <c r="D424" t="s">
        <v>79</v>
      </c>
      <c r="E424" t="s">
        <v>78</v>
      </c>
      <c r="F424">
        <f t="array" ref="F424">SUM(_xlfn.MAP(_xlfn.SEQUENCE(4),_xlfn.LAMBDA(_xlpm.i,POWER(36,4-_xlpm.i)*_xlfn.MAP(MID(代码表[[#This Row],[代码]],_xlpm.i,1),_xlfn.LAMBDA(_xlpm.a,IF(CODE(_xlpm.a)&gt;64,CODE(_xlpm.a)-55,CODE(_xlpm.a)-48))))))</f>
        <v>51711</v>
      </c>
      <c r="G424" s="10" t="str">
        <f t="array" ref="G424">IFERROR(INDEX(角色MOD表[],MATCH(1,(角色MOD表[名称]=A424)*(角色MOD表[品质]=E424)*IF(D424="",1,(角色MOD表[属性]="")+ISNUMBER(FIND(D424,角色MOD表[属性]))),0),2),INDEX(武器MOD表[],MATCH(1,(武器MOD表[名称]=A424)*(武器MOD表[品质]=E424)*((武器MOD表[类型]=C424)+(武器MOD表[限定]=C424)),0),2))</f>
        <v>契约者</v>
      </c>
    </row>
    <row r="425" spans="1:7">
      <c r="A425" t="s">
        <v>81</v>
      </c>
      <c r="B425" s="50" t="s">
        <v>1239</v>
      </c>
      <c r="C425" t="s">
        <v>16</v>
      </c>
      <c r="D425" t="s">
        <v>79</v>
      </c>
      <c r="E425" t="s">
        <v>78</v>
      </c>
      <c r="F425">
        <f t="array" ref="F425">SUM(_xlfn.MAP(_xlfn.SEQUENCE(4),_xlfn.LAMBDA(_xlpm.i,POWER(36,4-_xlpm.i)*_xlfn.MAP(MID(代码表[[#This Row],[代码]],_xlpm.i,1),_xlfn.LAMBDA(_xlpm.a,IF(CODE(_xlpm.a)&gt;64,CODE(_xlpm.a)-55,CODE(_xlpm.a)-48))))))</f>
        <v>51712</v>
      </c>
      <c r="G425" s="10" t="str">
        <f t="array" ref="G425">IFERROR(INDEX(角色MOD表[],MATCH(1,(角色MOD表[名称]=A425)*(角色MOD表[品质]=E425)*IF(D425="",1,(角色MOD表[属性]="")+ISNUMBER(FIND(D425,角色MOD表[属性]))),0),2),INDEX(武器MOD表[],MATCH(1,(武器MOD表[名称]=A425)*(武器MOD表[品质]=E425)*((武器MOD表[类型]=C425)+(武器MOD表[限定]=C425)),0),2))</f>
        <v>契约者</v>
      </c>
    </row>
    <row r="426" spans="1:7">
      <c r="A426" t="s">
        <v>26</v>
      </c>
      <c r="B426" s="50" t="s">
        <v>1240</v>
      </c>
      <c r="C426" t="s">
        <v>16</v>
      </c>
      <c r="D426" t="s">
        <v>79</v>
      </c>
      <c r="E426" t="s">
        <v>78</v>
      </c>
      <c r="F426">
        <f t="array" ref="F426">SUM(_xlfn.MAP(_xlfn.SEQUENCE(4),_xlfn.LAMBDA(_xlpm.i,POWER(36,4-_xlpm.i)*_xlfn.MAP(MID(代码表[[#This Row],[代码]],_xlpm.i,1),_xlfn.LAMBDA(_xlpm.a,IF(CODE(_xlpm.a)&gt;64,CODE(_xlpm.a)-55,CODE(_xlpm.a)-48))))))</f>
        <v>51713</v>
      </c>
      <c r="G426" s="10" t="str">
        <f t="array" ref="G426">IFERROR(INDEX(角色MOD表[],MATCH(1,(角色MOD表[名称]=A426)*(角色MOD表[品质]=E426)*IF(D426="",1,(角色MOD表[属性]="")+ISNUMBER(FIND(D426,角色MOD表[属性]))),0),2),INDEX(武器MOD表[],MATCH(1,(武器MOD表[名称]=A426)*(武器MOD表[品质]=E426)*((武器MOD表[类型]=C426)+(武器MOD表[限定]=C426)),0),2))</f>
        <v>契约者</v>
      </c>
    </row>
    <row r="427" spans="1:11">
      <c r="A427" t="s">
        <v>82</v>
      </c>
      <c r="B427" s="50" t="s">
        <v>1241</v>
      </c>
      <c r="C427" t="s">
        <v>16</v>
      </c>
      <c r="D427" t="s">
        <v>79</v>
      </c>
      <c r="E427" t="s">
        <v>78</v>
      </c>
      <c r="F427">
        <f t="array" ref="F427">SUM(_xlfn.MAP(_xlfn.SEQUENCE(4),_xlfn.LAMBDA(_xlpm.i,POWER(36,4-_xlpm.i)*_xlfn.MAP(MID(代码表[[#This Row],[代码]],_xlpm.i,1),_xlfn.LAMBDA(_xlpm.a,IF(CODE(_xlpm.a)&gt;64,CODE(_xlpm.a)-55,CODE(_xlpm.a)-48))))))</f>
        <v>51714</v>
      </c>
      <c r="G427" s="10" t="str">
        <f t="array" ref="G427">IFERROR(INDEX(角色MOD表[],MATCH(1,(角色MOD表[名称]=A427)*(角色MOD表[品质]=E427)*IF(D427="",1,(角色MOD表[属性]="")+ISNUMBER(FIND(D427,角色MOD表[属性]))),0),2),INDEX(武器MOD表[],MATCH(1,(武器MOD表[名称]=A427)*(武器MOD表[品质]=E427)*((武器MOD表[类型]=C427)+(武器MOD表[限定]=C427)),0),2))</f>
        <v>契约者</v>
      </c>
      <c r="K427" s="10"/>
    </row>
    <row r="428" spans="1:11">
      <c r="A428" t="s">
        <v>28</v>
      </c>
      <c r="B428" s="50" t="s">
        <v>1242</v>
      </c>
      <c r="C428" t="s">
        <v>16</v>
      </c>
      <c r="D428" t="s">
        <v>23</v>
      </c>
      <c r="E428" t="s">
        <v>78</v>
      </c>
      <c r="F428">
        <f t="array" ref="F428">SUM(_xlfn.MAP(_xlfn.SEQUENCE(4),_xlfn.LAMBDA(_xlpm.i,POWER(36,4-_xlpm.i)*_xlfn.MAP(MID(代码表[[#This Row],[代码]],_xlpm.i,1),_xlfn.LAMBDA(_xlpm.a,IF(CODE(_xlpm.a)&gt;64,CODE(_xlpm.a)-55,CODE(_xlpm.a)-48))))))</f>
        <v>51721</v>
      </c>
      <c r="G428" s="10" t="str">
        <f t="array" ref="G428">IFERROR(INDEX(角色MOD表[],MATCH(1,(角色MOD表[名称]=A428)*(角色MOD表[品质]=E428)*IF(D428="",1,(角色MOD表[属性]="")+ISNUMBER(FIND(D428,角色MOD表[属性]))),0),2),INDEX(武器MOD表[],MATCH(1,(武器MOD表[名称]=A428)*(武器MOD表[品质]=E428)*((武器MOD表[类型]=C428)+(武器MOD表[限定]=C428)),0),2))</f>
        <v>契约者</v>
      </c>
      <c r="K428" s="10"/>
    </row>
    <row r="429" spans="1:11">
      <c r="A429" t="s">
        <v>26</v>
      </c>
      <c r="B429" s="50" t="s">
        <v>1243</v>
      </c>
      <c r="C429" t="s">
        <v>16</v>
      </c>
      <c r="D429" t="s">
        <v>23</v>
      </c>
      <c r="E429" t="s">
        <v>78</v>
      </c>
      <c r="F429">
        <f t="array" ref="F429">SUM(_xlfn.MAP(_xlfn.SEQUENCE(4),_xlfn.LAMBDA(_xlpm.i,POWER(36,4-_xlpm.i)*_xlfn.MAP(MID(代码表[[#This Row],[代码]],_xlpm.i,1),_xlfn.LAMBDA(_xlpm.a,IF(CODE(_xlpm.a)&gt;64,CODE(_xlpm.a)-55,CODE(_xlpm.a)-48))))))</f>
        <v>51722</v>
      </c>
      <c r="G429" s="10" t="str">
        <f t="array" ref="G429">IFERROR(INDEX(角色MOD表[],MATCH(1,(角色MOD表[名称]=A429)*(角色MOD表[品质]=E429)*IF(D429="",1,(角色MOD表[属性]="")+ISNUMBER(FIND(D429,角色MOD表[属性]))),0),2),INDEX(武器MOD表[],MATCH(1,(武器MOD表[名称]=A429)*(武器MOD表[品质]=E429)*((武器MOD表[类型]=C429)+(武器MOD表[限定]=C429)),0),2))</f>
        <v>契约者</v>
      </c>
      <c r="K429" s="10"/>
    </row>
    <row r="430" spans="1:11">
      <c r="A430" t="s">
        <v>27</v>
      </c>
      <c r="B430" s="50" t="s">
        <v>1244</v>
      </c>
      <c r="C430" t="s">
        <v>16</v>
      </c>
      <c r="D430" t="s">
        <v>23</v>
      </c>
      <c r="E430" t="s">
        <v>78</v>
      </c>
      <c r="F430">
        <f t="array" ref="F430">SUM(_xlfn.MAP(_xlfn.SEQUENCE(4),_xlfn.LAMBDA(_xlpm.i,POWER(36,4-_xlpm.i)*_xlfn.MAP(MID(代码表[[#This Row],[代码]],_xlpm.i,1),_xlfn.LAMBDA(_xlpm.a,IF(CODE(_xlpm.a)&gt;64,CODE(_xlpm.a)-55,CODE(_xlpm.a)-48))))))</f>
        <v>51723</v>
      </c>
      <c r="G430" s="10" t="str">
        <f t="array" ref="G430">IFERROR(INDEX(角色MOD表[],MATCH(1,(角色MOD表[名称]=A430)*(角色MOD表[品质]=E430)*IF(D430="",1,(角色MOD表[属性]="")+ISNUMBER(FIND(D430,角色MOD表[属性]))),0),2),INDEX(武器MOD表[],MATCH(1,(武器MOD表[名称]=A430)*(武器MOD表[品质]=E430)*((武器MOD表[类型]=C430)+(武器MOD表[限定]=C430)),0),2))</f>
        <v>契约者</v>
      </c>
      <c r="K430" s="10"/>
    </row>
    <row r="431" spans="1:11">
      <c r="A431" t="s">
        <v>25</v>
      </c>
      <c r="B431" s="50" t="s">
        <v>1245</v>
      </c>
      <c r="C431" t="s">
        <v>16</v>
      </c>
      <c r="D431" t="s">
        <v>23</v>
      </c>
      <c r="E431" t="s">
        <v>78</v>
      </c>
      <c r="F431">
        <f t="array" ref="F431">SUM(_xlfn.MAP(_xlfn.SEQUENCE(4),_xlfn.LAMBDA(_xlpm.i,POWER(36,4-_xlpm.i)*_xlfn.MAP(MID(代码表[[#This Row],[代码]],_xlpm.i,1),_xlfn.LAMBDA(_xlpm.a,IF(CODE(_xlpm.a)&gt;64,CODE(_xlpm.a)-55,CODE(_xlpm.a)-48))))))</f>
        <v>51724</v>
      </c>
      <c r="G431" s="10" t="str">
        <f t="array" ref="G431">IFERROR(INDEX(角色MOD表[],MATCH(1,(角色MOD表[名称]=A431)*(角色MOD表[品质]=E431)*IF(D431="",1,(角色MOD表[属性]="")+ISNUMBER(FIND(D431,角色MOD表[属性]))),0),2),INDEX(武器MOD表[],MATCH(1,(武器MOD表[名称]=A431)*(武器MOD表[品质]=E431)*((武器MOD表[类型]=C431)+(武器MOD表[限定]=C431)),0),2))</f>
        <v>契约者</v>
      </c>
      <c r="K431" s="10"/>
    </row>
    <row r="432" spans="1:11">
      <c r="A432" t="s">
        <v>15</v>
      </c>
      <c r="B432" s="50" t="s">
        <v>1246</v>
      </c>
      <c r="C432" t="s">
        <v>16</v>
      </c>
      <c r="D432" t="s">
        <v>37</v>
      </c>
      <c r="E432" t="s">
        <v>78</v>
      </c>
      <c r="F432">
        <f t="array" ref="F432">SUM(_xlfn.MAP(_xlfn.SEQUENCE(4),_xlfn.LAMBDA(_xlpm.i,POWER(36,4-_xlpm.i)*_xlfn.MAP(MID(代码表[[#This Row],[代码]],_xlpm.i,1),_xlfn.LAMBDA(_xlpm.a,IF(CODE(_xlpm.a)&gt;64,CODE(_xlpm.a)-55,CODE(_xlpm.a)-48))))))</f>
        <v>51731</v>
      </c>
      <c r="G432" s="10" t="str">
        <f t="array" ref="G432">IFERROR(INDEX(角色MOD表[],MATCH(1,(角色MOD表[名称]=A432)*(角色MOD表[品质]=E432)*IF(D432="",1,(角色MOD表[属性]="")+ISNUMBER(FIND(D432,角色MOD表[属性]))),0),2),INDEX(武器MOD表[],MATCH(1,(武器MOD表[名称]=A432)*(武器MOD表[品质]=E432)*((武器MOD表[类型]=C432)+(武器MOD表[限定]=C432)),0),2))</f>
        <v>契约者</v>
      </c>
      <c r="K432" s="10"/>
    </row>
    <row r="433" spans="1:11">
      <c r="A433" t="s">
        <v>1041</v>
      </c>
      <c r="B433" s="50" t="s">
        <v>1247</v>
      </c>
      <c r="C433" t="s">
        <v>16</v>
      </c>
      <c r="D433" t="s">
        <v>37</v>
      </c>
      <c r="E433" t="s">
        <v>78</v>
      </c>
      <c r="F433">
        <f t="array" ref="F433">SUM(_xlfn.MAP(_xlfn.SEQUENCE(4),_xlfn.LAMBDA(_xlpm.i,POWER(36,4-_xlpm.i)*_xlfn.MAP(MID(代码表[[#This Row],[代码]],_xlpm.i,1),_xlfn.LAMBDA(_xlpm.a,IF(CODE(_xlpm.a)&gt;64,CODE(_xlpm.a)-55,CODE(_xlpm.a)-48))))))</f>
        <v>51732</v>
      </c>
      <c r="G433" s="10" t="str">
        <f t="array" ref="G433">IFERROR(INDEX(角色MOD表[],MATCH(1,(角色MOD表[名称]=A433)*(角色MOD表[品质]=E433)*IF(D433="",1,(角色MOD表[属性]="")+ISNUMBER(FIND(D433,角色MOD表[属性]))),0),2),INDEX(武器MOD表[],MATCH(1,(武器MOD表[名称]=A433)*(武器MOD表[品质]=E433)*((武器MOD表[类型]=C433)+(武器MOD表[限定]=C433)),0),2))</f>
        <v>契约者</v>
      </c>
      <c r="K433" s="10"/>
    </row>
    <row r="434" spans="1:11">
      <c r="A434" t="s">
        <v>27</v>
      </c>
      <c r="B434" s="50" t="s">
        <v>1248</v>
      </c>
      <c r="C434" t="s">
        <v>16</v>
      </c>
      <c r="D434" t="s">
        <v>37</v>
      </c>
      <c r="E434" t="s">
        <v>78</v>
      </c>
      <c r="F434">
        <f t="array" ref="F434">SUM(_xlfn.MAP(_xlfn.SEQUENCE(4),_xlfn.LAMBDA(_xlpm.i,POWER(36,4-_xlpm.i)*_xlfn.MAP(MID(代码表[[#This Row],[代码]],_xlpm.i,1),_xlfn.LAMBDA(_xlpm.a,IF(CODE(_xlpm.a)&gt;64,CODE(_xlpm.a)-55,CODE(_xlpm.a)-48))))))</f>
        <v>51733</v>
      </c>
      <c r="G434" s="10" t="str">
        <f t="array" ref="G434">IFERROR(INDEX(角色MOD表[],MATCH(1,(角色MOD表[名称]=A434)*(角色MOD表[品质]=E434)*IF(D434="",1,(角色MOD表[属性]="")+ISNUMBER(FIND(D434,角色MOD表[属性]))),0),2),INDEX(武器MOD表[],MATCH(1,(武器MOD表[名称]=A434)*(武器MOD表[品质]=E434)*((武器MOD表[类型]=C434)+(武器MOD表[限定]=C434)),0),2))</f>
        <v>契约者</v>
      </c>
      <c r="K434" s="10"/>
    </row>
    <row r="435" spans="1:11">
      <c r="A435" t="s">
        <v>39</v>
      </c>
      <c r="B435" s="50" t="s">
        <v>1249</v>
      </c>
      <c r="C435" t="s">
        <v>16</v>
      </c>
      <c r="D435" t="s">
        <v>37</v>
      </c>
      <c r="E435" t="s">
        <v>78</v>
      </c>
      <c r="F435">
        <f t="array" ref="F435">SUM(_xlfn.MAP(_xlfn.SEQUENCE(4),_xlfn.LAMBDA(_xlpm.i,POWER(36,4-_xlpm.i)*_xlfn.MAP(MID(代码表[[#This Row],[代码]],_xlpm.i,1),_xlfn.LAMBDA(_xlpm.a,IF(CODE(_xlpm.a)&gt;64,CODE(_xlpm.a)-55,CODE(_xlpm.a)-48))))))</f>
        <v>51734</v>
      </c>
      <c r="G435" s="10" t="str">
        <f t="array" ref="G435">IFERROR(INDEX(角色MOD表[],MATCH(1,(角色MOD表[名称]=A435)*(角色MOD表[品质]=E435)*IF(D435="",1,(角色MOD表[属性]="")+ISNUMBER(FIND(D435,角色MOD表[属性]))),0),2),INDEX(武器MOD表[],MATCH(1,(武器MOD表[名称]=A435)*(武器MOD表[品质]=E435)*((武器MOD表[类型]=C435)+(武器MOD表[限定]=C435)),0),2))</f>
        <v>契约者</v>
      </c>
      <c r="K435" s="10"/>
    </row>
    <row r="436" spans="1:11">
      <c r="A436" t="s">
        <v>28</v>
      </c>
      <c r="B436" s="50" t="s">
        <v>1250</v>
      </c>
      <c r="C436" t="s">
        <v>16</v>
      </c>
      <c r="D436" t="s">
        <v>10</v>
      </c>
      <c r="E436" t="s">
        <v>78</v>
      </c>
      <c r="F436">
        <f t="array" ref="F436">SUM(_xlfn.MAP(_xlfn.SEQUENCE(4),_xlfn.LAMBDA(_xlpm.i,POWER(36,4-_xlpm.i)*_xlfn.MAP(MID(代码表[[#This Row],[代码]],_xlpm.i,1),_xlfn.LAMBDA(_xlpm.a,IF(CODE(_xlpm.a)&gt;64,CODE(_xlpm.a)-55,CODE(_xlpm.a)-48))))))</f>
        <v>51741</v>
      </c>
      <c r="G436" s="10" t="str">
        <f t="array" ref="G436">IFERROR(INDEX(角色MOD表[],MATCH(1,(角色MOD表[名称]=A436)*(角色MOD表[品质]=E436)*IF(D436="",1,(角色MOD表[属性]="")+ISNUMBER(FIND(D436,角色MOD表[属性]))),0),2),INDEX(武器MOD表[],MATCH(1,(武器MOD表[名称]=A436)*(武器MOD表[品质]=E436)*((武器MOD表[类型]=C436)+(武器MOD表[限定]=C436)),0),2))</f>
        <v>契约者</v>
      </c>
      <c r="K436" s="10"/>
    </row>
    <row r="437" spans="1:11">
      <c r="A437" t="s">
        <v>81</v>
      </c>
      <c r="B437" s="50" t="s">
        <v>1251</v>
      </c>
      <c r="C437" t="s">
        <v>16</v>
      </c>
      <c r="D437" t="s">
        <v>10</v>
      </c>
      <c r="E437" t="s">
        <v>78</v>
      </c>
      <c r="F437">
        <f t="array" ref="F437">SUM(_xlfn.MAP(_xlfn.SEQUENCE(4),_xlfn.LAMBDA(_xlpm.i,POWER(36,4-_xlpm.i)*_xlfn.MAP(MID(代码表[[#This Row],[代码]],_xlpm.i,1),_xlfn.LAMBDA(_xlpm.a,IF(CODE(_xlpm.a)&gt;64,CODE(_xlpm.a)-55,CODE(_xlpm.a)-48))))))</f>
        <v>51742</v>
      </c>
      <c r="G437" s="10" t="str">
        <f t="array" ref="G437">IFERROR(INDEX(角色MOD表[],MATCH(1,(角色MOD表[名称]=A437)*(角色MOD表[品质]=E437)*IF(D437="",1,(角色MOD表[属性]="")+ISNUMBER(FIND(D437,角色MOD表[属性]))),0),2),INDEX(武器MOD表[],MATCH(1,(武器MOD表[名称]=A437)*(武器MOD表[品质]=E437)*((武器MOD表[类型]=C437)+(武器MOD表[限定]=C437)),0),2))</f>
        <v>契约者</v>
      </c>
      <c r="K437" s="10"/>
    </row>
    <row r="438" spans="1:11">
      <c r="A438" t="s">
        <v>12</v>
      </c>
      <c r="B438" s="50" t="s">
        <v>1252</v>
      </c>
      <c r="C438" t="s">
        <v>16</v>
      </c>
      <c r="D438" t="s">
        <v>10</v>
      </c>
      <c r="E438" t="s">
        <v>78</v>
      </c>
      <c r="F438">
        <f t="array" ref="F438">SUM(_xlfn.MAP(_xlfn.SEQUENCE(4),_xlfn.LAMBDA(_xlpm.i,POWER(36,4-_xlpm.i)*_xlfn.MAP(MID(代码表[[#This Row],[代码]],_xlpm.i,1),_xlfn.LAMBDA(_xlpm.a,IF(CODE(_xlpm.a)&gt;64,CODE(_xlpm.a)-55,CODE(_xlpm.a)-48))))))</f>
        <v>51743</v>
      </c>
      <c r="G438" s="10" t="str">
        <f t="array" ref="G438">IFERROR(INDEX(角色MOD表[],MATCH(1,(角色MOD表[名称]=A438)*(角色MOD表[品质]=E438)*IF(D438="",1,(角色MOD表[属性]="")+ISNUMBER(FIND(D438,角色MOD表[属性]))),0),2),INDEX(武器MOD表[],MATCH(1,(武器MOD表[名称]=A438)*(武器MOD表[品质]=E438)*((武器MOD表[类型]=C438)+(武器MOD表[限定]=C438)),0),2))</f>
        <v>契约者</v>
      </c>
      <c r="K438" s="10"/>
    </row>
    <row r="439" spans="1:11">
      <c r="A439" t="s">
        <v>1048</v>
      </c>
      <c r="B439" s="50" t="s">
        <v>1253</v>
      </c>
      <c r="C439" t="s">
        <v>16</v>
      </c>
      <c r="D439" t="s">
        <v>10</v>
      </c>
      <c r="E439" t="s">
        <v>78</v>
      </c>
      <c r="F439">
        <f t="array" ref="F439">SUM(_xlfn.MAP(_xlfn.SEQUENCE(4),_xlfn.LAMBDA(_xlpm.i,POWER(36,4-_xlpm.i)*_xlfn.MAP(MID(代码表[[#This Row],[代码]],_xlpm.i,1),_xlfn.LAMBDA(_xlpm.a,IF(CODE(_xlpm.a)&gt;64,CODE(_xlpm.a)-55,CODE(_xlpm.a)-48))))))</f>
        <v>51744</v>
      </c>
      <c r="G439" s="10" t="str">
        <f t="array" ref="G439">IFERROR(INDEX(角色MOD表[],MATCH(1,(角色MOD表[名称]=A439)*(角色MOD表[品质]=E439)*IF(D439="",1,(角色MOD表[属性]="")+ISNUMBER(FIND(D439,角色MOD表[属性]))),0),2),INDEX(武器MOD表[],MATCH(1,(武器MOD表[名称]=A439)*(武器MOD表[品质]=E439)*((武器MOD表[类型]=C439)+(武器MOD表[限定]=C439)),0),2))</f>
        <v>契约者</v>
      </c>
      <c r="K439" s="10"/>
    </row>
    <row r="440" spans="1:11">
      <c r="A440" t="s">
        <v>15</v>
      </c>
      <c r="B440" s="50" t="s">
        <v>1254</v>
      </c>
      <c r="C440" t="s">
        <v>16</v>
      </c>
      <c r="D440" t="s">
        <v>43</v>
      </c>
      <c r="E440" t="s">
        <v>78</v>
      </c>
      <c r="F440">
        <f t="array" ref="F440">SUM(_xlfn.MAP(_xlfn.SEQUENCE(4),_xlfn.LAMBDA(_xlpm.i,POWER(36,4-_xlpm.i)*_xlfn.MAP(MID(代码表[[#This Row],[代码]],_xlpm.i,1),_xlfn.LAMBDA(_xlpm.a,IF(CODE(_xlpm.a)&gt;64,CODE(_xlpm.a)-55,CODE(_xlpm.a)-48))))))</f>
        <v>51751</v>
      </c>
      <c r="G440" s="10" t="str">
        <f t="array" ref="G440">IFERROR(INDEX(角色MOD表[],MATCH(1,(角色MOD表[名称]=A440)*(角色MOD表[品质]=E440)*IF(D440="",1,(角色MOD表[属性]="")+ISNUMBER(FIND(D440,角色MOD表[属性]))),0),2),INDEX(武器MOD表[],MATCH(1,(武器MOD表[名称]=A440)*(武器MOD表[品质]=E440)*((武器MOD表[类型]=C440)+(武器MOD表[限定]=C440)),0),2))</f>
        <v>契约者</v>
      </c>
      <c r="K440" s="10"/>
    </row>
    <row r="441" spans="1:11">
      <c r="A441" t="s">
        <v>14</v>
      </c>
      <c r="B441" s="50" t="s">
        <v>1255</v>
      </c>
      <c r="C441" t="s">
        <v>16</v>
      </c>
      <c r="D441" t="s">
        <v>43</v>
      </c>
      <c r="E441" t="s">
        <v>78</v>
      </c>
      <c r="F441">
        <f t="array" ref="F441">SUM(_xlfn.MAP(_xlfn.SEQUENCE(4),_xlfn.LAMBDA(_xlpm.i,POWER(36,4-_xlpm.i)*_xlfn.MAP(MID(代码表[[#This Row],[代码]],_xlpm.i,1),_xlfn.LAMBDA(_xlpm.a,IF(CODE(_xlpm.a)&gt;64,CODE(_xlpm.a)-55,CODE(_xlpm.a)-48))))))</f>
        <v>51752</v>
      </c>
      <c r="G441" s="10" t="str">
        <f t="array" ref="G441">IFERROR(INDEX(角色MOD表[],MATCH(1,(角色MOD表[名称]=A441)*(角色MOD表[品质]=E441)*IF(D441="",1,(角色MOD表[属性]="")+ISNUMBER(FIND(D441,角色MOD表[属性]))),0),2),INDEX(武器MOD表[],MATCH(1,(武器MOD表[名称]=A441)*(武器MOD表[品质]=E441)*((武器MOD表[类型]=C441)+(武器MOD表[限定]=C441)),0),2))</f>
        <v>契约者</v>
      </c>
      <c r="K441" s="10"/>
    </row>
    <row r="442" spans="1:11">
      <c r="A442" t="s">
        <v>12</v>
      </c>
      <c r="B442" s="50" t="s">
        <v>1256</v>
      </c>
      <c r="C442" t="s">
        <v>16</v>
      </c>
      <c r="D442" t="s">
        <v>43</v>
      </c>
      <c r="E442" t="s">
        <v>78</v>
      </c>
      <c r="F442">
        <f t="array" ref="F442">SUM(_xlfn.MAP(_xlfn.SEQUENCE(4),_xlfn.LAMBDA(_xlpm.i,POWER(36,4-_xlpm.i)*_xlfn.MAP(MID(代码表[[#This Row],[代码]],_xlpm.i,1),_xlfn.LAMBDA(_xlpm.a,IF(CODE(_xlpm.a)&gt;64,CODE(_xlpm.a)-55,CODE(_xlpm.a)-48))))))</f>
        <v>51753</v>
      </c>
      <c r="G442" s="10" t="str">
        <f t="array" ref="G442">IFERROR(INDEX(角色MOD表[],MATCH(1,(角色MOD表[名称]=A442)*(角色MOD表[品质]=E442)*IF(D442="",1,(角色MOD表[属性]="")+ISNUMBER(FIND(D442,角色MOD表[属性]))),0),2),INDEX(武器MOD表[],MATCH(1,(武器MOD表[名称]=A442)*(武器MOD表[品质]=E442)*((武器MOD表[类型]=C442)+(武器MOD表[限定]=C442)),0),2))</f>
        <v>契约者</v>
      </c>
      <c r="K442" s="10"/>
    </row>
    <row r="443" spans="1:11">
      <c r="A443" t="s">
        <v>13</v>
      </c>
      <c r="B443" s="50" t="s">
        <v>1257</v>
      </c>
      <c r="C443" t="s">
        <v>16</v>
      </c>
      <c r="D443" t="s">
        <v>43</v>
      </c>
      <c r="E443" t="s">
        <v>78</v>
      </c>
      <c r="F443">
        <f t="array" ref="F443">SUM(_xlfn.MAP(_xlfn.SEQUENCE(4),_xlfn.LAMBDA(_xlpm.i,POWER(36,4-_xlpm.i)*_xlfn.MAP(MID(代码表[[#This Row],[代码]],_xlpm.i,1),_xlfn.LAMBDA(_xlpm.a,IF(CODE(_xlpm.a)&gt;64,CODE(_xlpm.a)-55,CODE(_xlpm.a)-48))))))</f>
        <v>51754</v>
      </c>
      <c r="G443" s="10" t="str">
        <f t="array" ref="G443">IFERROR(INDEX(角色MOD表[],MATCH(1,(角色MOD表[名称]=A443)*(角色MOD表[品质]=E443)*IF(D443="",1,(角色MOD表[属性]="")+ISNUMBER(FIND(D443,角色MOD表[属性]))),0),2),INDEX(武器MOD表[],MATCH(1,(武器MOD表[名称]=A443)*(武器MOD表[品质]=E443)*((武器MOD表[类型]=C443)+(武器MOD表[限定]=C443)),0),2))</f>
        <v>契约者</v>
      </c>
      <c r="K443" s="10"/>
    </row>
    <row r="444" spans="1:11">
      <c r="A444" t="s">
        <v>74</v>
      </c>
      <c r="B444" s="50" t="s">
        <v>1258</v>
      </c>
      <c r="C444" t="s">
        <v>16</v>
      </c>
      <c r="D444" t="s">
        <v>72</v>
      </c>
      <c r="E444" t="s">
        <v>78</v>
      </c>
      <c r="F444">
        <f t="array" ref="F444">SUM(_xlfn.MAP(_xlfn.SEQUENCE(4),_xlfn.LAMBDA(_xlpm.i,POWER(36,4-_xlpm.i)*_xlfn.MAP(MID(代码表[[#This Row],[代码]],_xlpm.i,1),_xlfn.LAMBDA(_xlpm.a,IF(CODE(_xlpm.a)&gt;64,CODE(_xlpm.a)-55,CODE(_xlpm.a)-48))))))</f>
        <v>51761</v>
      </c>
      <c r="G444" s="10" t="str">
        <f t="array" ref="G444">IFERROR(INDEX(角色MOD表[],MATCH(1,(角色MOD表[名称]=A444)*(角色MOD表[品质]=E444)*IF(D444="",1,(角色MOD表[属性]="")+ISNUMBER(FIND(D444,角色MOD表[属性]))),0),2),INDEX(武器MOD表[],MATCH(1,(武器MOD表[名称]=A444)*(武器MOD表[品质]=E444)*((武器MOD表[类型]=C444)+(武器MOD表[限定]=C444)),0),2))</f>
        <v>契约者</v>
      </c>
      <c r="K444" s="10"/>
    </row>
    <row r="445" spans="1:11">
      <c r="A445" t="s">
        <v>14</v>
      </c>
      <c r="B445" s="50" t="s">
        <v>1259</v>
      </c>
      <c r="C445" t="s">
        <v>16</v>
      </c>
      <c r="D445" t="s">
        <v>72</v>
      </c>
      <c r="E445" t="s">
        <v>78</v>
      </c>
      <c r="F445">
        <f t="array" ref="F445">SUM(_xlfn.MAP(_xlfn.SEQUENCE(4),_xlfn.LAMBDA(_xlpm.i,POWER(36,4-_xlpm.i)*_xlfn.MAP(MID(代码表[[#This Row],[代码]],_xlpm.i,1),_xlfn.LAMBDA(_xlpm.a,IF(CODE(_xlpm.a)&gt;64,CODE(_xlpm.a)-55,CODE(_xlpm.a)-48))))))</f>
        <v>51762</v>
      </c>
      <c r="G445" s="10" t="str">
        <f t="array" ref="G445">IFERROR(INDEX(角色MOD表[],MATCH(1,(角色MOD表[名称]=A445)*(角色MOD表[品质]=E445)*IF(D445="",1,(角色MOD表[属性]="")+ISNUMBER(FIND(D445,角色MOD表[属性]))),0),2),INDEX(武器MOD表[],MATCH(1,(武器MOD表[名称]=A445)*(武器MOD表[品质]=E445)*((武器MOD表[类型]=C445)+(武器MOD表[限定]=C445)),0),2))</f>
        <v>契约者</v>
      </c>
      <c r="K445" s="10"/>
    </row>
    <row r="446" spans="1:11">
      <c r="A446" t="s">
        <v>1041</v>
      </c>
      <c r="B446" s="50" t="s">
        <v>1260</v>
      </c>
      <c r="C446" t="s">
        <v>16</v>
      </c>
      <c r="D446" t="s">
        <v>72</v>
      </c>
      <c r="E446" t="s">
        <v>78</v>
      </c>
      <c r="F446">
        <f t="array" ref="F446">SUM(_xlfn.MAP(_xlfn.SEQUENCE(4),_xlfn.LAMBDA(_xlpm.i,POWER(36,4-_xlpm.i)*_xlfn.MAP(MID(代码表[[#This Row],[代码]],_xlpm.i,1),_xlfn.LAMBDA(_xlpm.a,IF(CODE(_xlpm.a)&gt;64,CODE(_xlpm.a)-55,CODE(_xlpm.a)-48))))))</f>
        <v>51763</v>
      </c>
      <c r="G446" s="10" t="str">
        <f t="array" ref="G446">IFERROR(INDEX(角色MOD表[],MATCH(1,(角色MOD表[名称]=A446)*(角色MOD表[品质]=E446)*IF(D446="",1,(角色MOD表[属性]="")+ISNUMBER(FIND(D446,角色MOD表[属性]))),0),2),INDEX(武器MOD表[],MATCH(1,(武器MOD表[名称]=A446)*(武器MOD表[品质]=E446)*((武器MOD表[类型]=C446)+(武器MOD表[限定]=C446)),0),2))</f>
        <v>契约者</v>
      </c>
      <c r="K446" s="10"/>
    </row>
    <row r="447" spans="1:11">
      <c r="A447" t="s">
        <v>75</v>
      </c>
      <c r="B447" s="50" t="s">
        <v>1261</v>
      </c>
      <c r="C447" t="s">
        <v>16</v>
      </c>
      <c r="D447" t="s">
        <v>72</v>
      </c>
      <c r="E447" t="s">
        <v>78</v>
      </c>
      <c r="F447">
        <f t="array" ref="F447">SUM(_xlfn.MAP(_xlfn.SEQUENCE(4),_xlfn.LAMBDA(_xlpm.i,POWER(36,4-_xlpm.i)*_xlfn.MAP(MID(代码表[[#This Row],[代码]],_xlpm.i,1),_xlfn.LAMBDA(_xlpm.a,IF(CODE(_xlpm.a)&gt;64,CODE(_xlpm.a)-55,CODE(_xlpm.a)-48))))))</f>
        <v>51764</v>
      </c>
      <c r="G447" s="10" t="str">
        <f t="array" ref="G447">IFERROR(INDEX(角色MOD表[],MATCH(1,(角色MOD表[名称]=A447)*(角色MOD表[品质]=E447)*IF(D447="",1,(角色MOD表[属性]="")+ISNUMBER(FIND(D447,角色MOD表[属性]))),0),2),INDEX(武器MOD表[],MATCH(1,(武器MOD表[名称]=A447)*(武器MOD表[品质]=E447)*((武器MOD表[类型]=C447)+(武器MOD表[限定]=C447)),0),2))</f>
        <v>契约者</v>
      </c>
      <c r="K447" s="10"/>
    </row>
    <row r="448" spans="1:11">
      <c r="A448" t="s">
        <v>1058</v>
      </c>
      <c r="B448" s="50" t="s">
        <v>1262</v>
      </c>
      <c r="C448" t="s">
        <v>16</v>
      </c>
      <c r="E448" t="s">
        <v>78</v>
      </c>
      <c r="F448">
        <f t="array" ref="F448">SUM(_xlfn.MAP(_xlfn.SEQUENCE(4),_xlfn.LAMBDA(_xlpm.i,POWER(36,4-_xlpm.i)*_xlfn.MAP(MID(代码表[[#This Row],[代码]],_xlpm.i,1),_xlfn.LAMBDA(_xlpm.a,IF(CODE(_xlpm.a)&gt;64,CODE(_xlpm.a)-55,CODE(_xlpm.a)-48))))))</f>
        <v>51801</v>
      </c>
      <c r="G448" s="10" t="str">
        <f t="array" ref="G448">IFERROR(INDEX(角色MOD表[],MATCH(1,(角色MOD表[名称]=A448)*(角色MOD表[品质]=E448)*IF(D448="",1,(角色MOD表[属性]="")+ISNUMBER(FIND(D448,角色MOD表[属性]))),0),2),INDEX(武器MOD表[],MATCH(1,(武器MOD表[名称]=A448)*(武器MOD表[品质]=E448)*((武器MOD表[类型]=C448)+(武器MOD表[限定]=C448)),0),2))</f>
        <v>中庭蛇</v>
      </c>
      <c r="K448" s="10"/>
    </row>
    <row r="449" spans="1:11">
      <c r="A449" t="s">
        <v>1060</v>
      </c>
      <c r="B449" s="50" t="s">
        <v>1263</v>
      </c>
      <c r="C449" t="s">
        <v>16</v>
      </c>
      <c r="E449" t="s">
        <v>78</v>
      </c>
      <c r="F449">
        <f t="array" ref="F449">SUM(_xlfn.MAP(_xlfn.SEQUENCE(4),_xlfn.LAMBDA(_xlpm.i,POWER(36,4-_xlpm.i)*_xlfn.MAP(MID(代码表[[#This Row],[代码]],_xlpm.i,1),_xlfn.LAMBDA(_xlpm.a,IF(CODE(_xlpm.a)&gt;64,CODE(_xlpm.a)-55,CODE(_xlpm.a)-48))))))</f>
        <v>51802</v>
      </c>
      <c r="G449" s="10" t="str">
        <f t="array" ref="G449">IFERROR(INDEX(角色MOD表[],MATCH(1,(角色MOD表[名称]=A449)*(角色MOD表[品质]=E449)*IF(D449="",1,(角色MOD表[属性]="")+ISNUMBER(FIND(D449,角色MOD表[属性]))),0),2),INDEX(武器MOD表[],MATCH(1,(武器MOD表[名称]=A449)*(武器MOD表[品质]=E449)*((武器MOD表[类型]=C449)+(武器MOD表[限定]=C449)),0),2))</f>
        <v>中庭蛇</v>
      </c>
      <c r="K449" s="10"/>
    </row>
    <row r="450" spans="1:11">
      <c r="A450" t="s">
        <v>1062</v>
      </c>
      <c r="B450" s="50" t="s">
        <v>1264</v>
      </c>
      <c r="C450" t="s">
        <v>16</v>
      </c>
      <c r="E450" t="s">
        <v>78</v>
      </c>
      <c r="F450">
        <f t="array" ref="F450">SUM(_xlfn.MAP(_xlfn.SEQUENCE(4),_xlfn.LAMBDA(_xlpm.i,POWER(36,4-_xlpm.i)*_xlfn.MAP(MID(代码表[[#This Row],[代码]],_xlpm.i,1),_xlfn.LAMBDA(_xlpm.a,IF(CODE(_xlpm.a)&gt;64,CODE(_xlpm.a)-55,CODE(_xlpm.a)-48))))))</f>
        <v>51803</v>
      </c>
      <c r="G450" s="10" t="str">
        <f t="array" ref="G450">IFERROR(INDEX(角色MOD表[],MATCH(1,(角色MOD表[名称]=A450)*(角色MOD表[品质]=E450)*IF(D450="",1,(角色MOD表[属性]="")+ISNUMBER(FIND(D450,角色MOD表[属性]))),0),2),INDEX(武器MOD表[],MATCH(1,(武器MOD表[名称]=A450)*(武器MOD表[品质]=E450)*((武器MOD表[类型]=C450)+(武器MOD表[限定]=C450)),0),2))</f>
        <v>中庭蛇</v>
      </c>
      <c r="K450" s="10"/>
    </row>
    <row r="451" spans="1:11">
      <c r="A451" s="58" t="s">
        <v>1064</v>
      </c>
      <c r="B451" s="51" t="s">
        <v>1265</v>
      </c>
      <c r="C451" t="s">
        <v>16</v>
      </c>
      <c r="E451" t="s">
        <v>78</v>
      </c>
      <c r="F451">
        <f>SUM(_xlfn.MAP(_xlfn.SEQUENCE(4),_xlfn.LAMBDA(_xlpm.i,POWER(36,4-_xlpm.i)*_xlfn.MAP(MID(代码表[[#This Row],[代码]],_xlpm.i,1),_xlfn.LAMBDA(_xlpm.a,IF(CODE(_xlpm.a)&gt;64,CODE(_xlpm.a)-55,CODE(_xlpm.a)-48))))))</f>
        <v>51804</v>
      </c>
      <c r="G451" s="10" t="str">
        <f t="array" ref="G451">IFERROR(INDEX(角色MOD表[],MATCH(1,(角色MOD表[名称]=A451)*(角色MOD表[品质]=E451)*IF(D451="",1,(角色MOD表[属性]="")+ISNUMBER(FIND(D451,角色MOD表[属性]))),0),2),INDEX(武器MOD表[],MATCH(1,(武器MOD表[名称]=A451)*(武器MOD表[品质]=E451)*((武器MOD表[类型]=C451)+(武器MOD表[限定]=C451)),0),2))</f>
        <v>中庭蛇</v>
      </c>
      <c r="K451" s="10"/>
    </row>
    <row r="452" spans="1:11">
      <c r="A452" t="s">
        <v>1066</v>
      </c>
      <c r="B452" s="50" t="s">
        <v>1266</v>
      </c>
      <c r="C452" t="s">
        <v>16</v>
      </c>
      <c r="E452" t="s">
        <v>78</v>
      </c>
      <c r="F452">
        <f t="array" ref="F452">SUM(_xlfn.MAP(_xlfn.SEQUENCE(4),_xlfn.LAMBDA(_xlpm.i,POWER(36,4-_xlpm.i)*_xlfn.MAP(MID(代码表[[#This Row],[代码]],_xlpm.i,1),_xlfn.LAMBDA(_xlpm.a,IF(CODE(_xlpm.a)&gt;64,CODE(_xlpm.a)-55,CODE(_xlpm.a)-48))))))</f>
        <v>51805</v>
      </c>
      <c r="G452" s="10" t="str">
        <f t="array" ref="G452">IFERROR(INDEX(角色MOD表[],MATCH(1,(角色MOD表[名称]=A452)*(角色MOD表[品质]=E452)*IF(D452="",1,(角色MOD表[属性]="")+ISNUMBER(FIND(D452,角色MOD表[属性]))),0),2),INDEX(武器MOD表[],MATCH(1,(武器MOD表[名称]=A452)*(武器MOD表[品质]=E452)*((武器MOD表[类型]=C452)+(武器MOD表[限定]=C452)),0),2))</f>
        <v>中庭蛇</v>
      </c>
      <c r="K452" s="10"/>
    </row>
    <row r="453" spans="1:11">
      <c r="A453" t="s">
        <v>1068</v>
      </c>
      <c r="B453" s="50" t="s">
        <v>1267</v>
      </c>
      <c r="C453" t="s">
        <v>16</v>
      </c>
      <c r="E453" t="s">
        <v>78</v>
      </c>
      <c r="F453">
        <f t="array" ref="F453">SUM(_xlfn.MAP(_xlfn.SEQUENCE(4),_xlfn.LAMBDA(_xlpm.i,POWER(36,4-_xlpm.i)*_xlfn.MAP(MID(代码表[[#This Row],[代码]],_xlpm.i,1),_xlfn.LAMBDA(_xlpm.a,IF(CODE(_xlpm.a)&gt;64,CODE(_xlpm.a)-55,CODE(_xlpm.a)-48))))))</f>
        <v>51806</v>
      </c>
      <c r="G453" s="10" t="str">
        <f t="array" ref="G453">IFERROR(INDEX(角色MOD表[],MATCH(1,(角色MOD表[名称]=A453)*(角色MOD表[品质]=E453)*IF(D453="",1,(角色MOD表[属性]="")+ISNUMBER(FIND(D453,角色MOD表[属性]))),0),2),INDEX(武器MOD表[],MATCH(1,(武器MOD表[名称]=A453)*(武器MOD表[品质]=E453)*((武器MOD表[类型]=C453)+(武器MOD表[限定]=C453)),0),2))</f>
        <v>中庭蛇</v>
      </c>
      <c r="K453" s="10"/>
    </row>
    <row r="454" spans="1:11">
      <c r="A454" t="s">
        <v>1070</v>
      </c>
      <c r="B454" s="50" t="s">
        <v>1268</v>
      </c>
      <c r="C454" t="s">
        <v>16</v>
      </c>
      <c r="E454" t="s">
        <v>78</v>
      </c>
      <c r="F454">
        <f t="array" ref="F454">SUM(_xlfn.MAP(_xlfn.SEQUENCE(4),_xlfn.LAMBDA(_xlpm.i,POWER(36,4-_xlpm.i)*_xlfn.MAP(MID(代码表[[#This Row],[代码]],_xlpm.i,1),_xlfn.LAMBDA(_xlpm.a,IF(CODE(_xlpm.a)&gt;64,CODE(_xlpm.a)-55,CODE(_xlpm.a)-48))))))</f>
        <v>51807</v>
      </c>
      <c r="G454" s="10" t="str">
        <f t="array" ref="G454">IFERROR(INDEX(角色MOD表[],MATCH(1,(角色MOD表[名称]=A454)*(角色MOD表[品质]=E454)*IF(D454="",1,(角色MOD表[属性]="")+ISNUMBER(FIND(D454,角色MOD表[属性]))),0),2),INDEX(武器MOD表[],MATCH(1,(武器MOD表[名称]=A454)*(武器MOD表[品质]=E454)*((武器MOD表[类型]=C454)+(武器MOD表[限定]=C454)),0),2))</f>
        <v>中庭蛇</v>
      </c>
      <c r="K454" s="10"/>
    </row>
    <row r="455" spans="1:11">
      <c r="A455" s="9" t="s">
        <v>1072</v>
      </c>
      <c r="B455" s="50" t="s">
        <v>1269</v>
      </c>
      <c r="C455" t="s">
        <v>16</v>
      </c>
      <c r="E455" t="s">
        <v>78</v>
      </c>
      <c r="F455">
        <f t="array" ref="F455">SUM(_xlfn.MAP(_xlfn.SEQUENCE(4),_xlfn.LAMBDA(_xlpm.i,POWER(36,4-_xlpm.i)*_xlfn.MAP(MID(代码表[[#This Row],[代码]],_xlpm.i,1),_xlfn.LAMBDA(_xlpm.a,IF(CODE(_xlpm.a)&gt;64,CODE(_xlpm.a)-55,CODE(_xlpm.a)-48))))))</f>
        <v>51808</v>
      </c>
      <c r="G455" s="10" t="str">
        <f t="array" ref="G455">IFERROR(INDEX(角色MOD表[],MATCH(1,(角色MOD表[名称]=A455)*(角色MOD表[品质]=E455)*IF(D455="",1,(角色MOD表[属性]="")+ISNUMBER(FIND(D455,角色MOD表[属性]))),0),2),INDEX(武器MOD表[],MATCH(1,(武器MOD表[名称]=A455)*(武器MOD表[品质]=E455)*((武器MOD表[类型]=C455)+(武器MOD表[限定]=C455)),0),2))</f>
        <v>中庭蛇</v>
      </c>
      <c r="K455" s="10"/>
    </row>
    <row r="456" spans="1:11">
      <c r="A456" t="s">
        <v>1074</v>
      </c>
      <c r="B456" s="50" t="s">
        <v>1270</v>
      </c>
      <c r="C456" t="s">
        <v>16</v>
      </c>
      <c r="E456" t="s">
        <v>78</v>
      </c>
      <c r="F456">
        <f t="array" ref="F456">SUM(_xlfn.MAP(_xlfn.SEQUENCE(4),_xlfn.LAMBDA(_xlpm.i,POWER(36,4-_xlpm.i)*_xlfn.MAP(MID(代码表[[#This Row],[代码]],_xlpm.i,1),_xlfn.LAMBDA(_xlpm.a,IF(CODE(_xlpm.a)&gt;64,CODE(_xlpm.a)-55,CODE(_xlpm.a)-48))))))</f>
        <v>51809</v>
      </c>
      <c r="G456" s="10" t="str">
        <f t="array" ref="G456">IFERROR(INDEX(角色MOD表[],MATCH(1,(角色MOD表[名称]=A456)*(角色MOD表[品质]=E456)*IF(D456="",1,(角色MOD表[属性]="")+ISNUMBER(FIND(D456,角色MOD表[属性]))),0),2),INDEX(武器MOD表[],MATCH(1,(武器MOD表[名称]=A456)*(武器MOD表[品质]=E456)*((武器MOD表[类型]=C456)+(武器MOD表[限定]=C456)),0),2))</f>
        <v>中庭蛇</v>
      </c>
      <c r="K456" s="10"/>
    </row>
    <row r="457" spans="1:11">
      <c r="A457" s="9" t="s">
        <v>1076</v>
      </c>
      <c r="B457" s="50" t="s">
        <v>1271</v>
      </c>
      <c r="C457" t="s">
        <v>16</v>
      </c>
      <c r="E457" t="s">
        <v>78</v>
      </c>
      <c r="F457">
        <f t="array" ref="F457">SUM(_xlfn.MAP(_xlfn.SEQUENCE(4),_xlfn.LAMBDA(_xlpm.i,POWER(36,4-_xlpm.i)*_xlfn.MAP(MID(代码表[[#This Row],[代码]],_xlpm.i,1),_xlfn.LAMBDA(_xlpm.a,IF(CODE(_xlpm.a)&gt;64,CODE(_xlpm.a)-55,CODE(_xlpm.a)-48))))))</f>
        <v>51810</v>
      </c>
      <c r="G457" s="10" t="str">
        <f t="array" ref="G457">IFERROR(INDEX(角色MOD表[],MATCH(1,(角色MOD表[名称]=A457)*(角色MOD表[品质]=E457)*IF(D457="",1,(角色MOD表[属性]="")+ISNUMBER(FIND(D457,角色MOD表[属性]))),0),2),INDEX(武器MOD表[],MATCH(1,(武器MOD表[名称]=A457)*(武器MOD表[品质]=E457)*((武器MOD表[类型]=C457)+(武器MOD表[限定]=C457)),0),2))</f>
        <v>中庭蛇</v>
      </c>
      <c r="K457" s="10"/>
    </row>
    <row r="458" spans="1:11">
      <c r="A458" t="s">
        <v>1078</v>
      </c>
      <c r="B458" s="50" t="s">
        <v>1272</v>
      </c>
      <c r="C458" t="s">
        <v>16</v>
      </c>
      <c r="E458" t="s">
        <v>78</v>
      </c>
      <c r="F458">
        <f t="array" ref="F458">SUM(_xlfn.MAP(_xlfn.SEQUENCE(4),_xlfn.LAMBDA(_xlpm.i,POWER(36,4-_xlpm.i)*_xlfn.MAP(MID(代码表[[#This Row],[代码]],_xlpm.i,1),_xlfn.LAMBDA(_xlpm.a,IF(CODE(_xlpm.a)&gt;64,CODE(_xlpm.a)-55,CODE(_xlpm.a)-48))))))</f>
        <v>51811</v>
      </c>
      <c r="G458" s="10" t="str">
        <f t="array" ref="G458">IFERROR(INDEX(角色MOD表[],MATCH(1,(角色MOD表[名称]=A458)*(角色MOD表[品质]=E458)*IF(D458="",1,(角色MOD表[属性]="")+ISNUMBER(FIND(D458,角色MOD表[属性]))),0),2),INDEX(武器MOD表[],MATCH(1,(武器MOD表[名称]=A458)*(武器MOD表[品质]=E458)*((武器MOD表[类型]=C458)+(武器MOD表[限定]=C458)),0),2))</f>
        <v>中庭蛇</v>
      </c>
      <c r="K458" s="10"/>
    </row>
    <row r="459" spans="1:11">
      <c r="A459" t="s">
        <v>1080</v>
      </c>
      <c r="B459" s="50" t="s">
        <v>1273</v>
      </c>
      <c r="C459" t="s">
        <v>16</v>
      </c>
      <c r="E459" t="s">
        <v>78</v>
      </c>
      <c r="F459">
        <f t="array" ref="F459">SUM(_xlfn.MAP(_xlfn.SEQUENCE(4),_xlfn.LAMBDA(_xlpm.i,POWER(36,4-_xlpm.i)*_xlfn.MAP(MID(代码表[[#This Row],[代码]],_xlpm.i,1),_xlfn.LAMBDA(_xlpm.a,IF(CODE(_xlpm.a)&gt;64,CODE(_xlpm.a)-55,CODE(_xlpm.a)-48))))))</f>
        <v>51812</v>
      </c>
      <c r="G459" s="10" t="str">
        <f t="array" ref="G459">IFERROR(INDEX(角色MOD表[],MATCH(1,(角色MOD表[名称]=A459)*(角色MOD表[品质]=E459)*IF(D459="",1,(角色MOD表[属性]="")+ISNUMBER(FIND(D459,角色MOD表[属性]))),0),2),INDEX(武器MOD表[],MATCH(1,(武器MOD表[名称]=A459)*(武器MOD表[品质]=E459)*((武器MOD表[类型]=C459)+(武器MOD表[限定]=C459)),0),2))</f>
        <v>中庭蛇</v>
      </c>
      <c r="K459" s="10"/>
    </row>
    <row r="460" spans="1:7">
      <c r="A460" t="s">
        <v>1082</v>
      </c>
      <c r="B460" s="50" t="s">
        <v>1274</v>
      </c>
      <c r="C460" t="s">
        <v>16</v>
      </c>
      <c r="D460" t="s">
        <v>79</v>
      </c>
      <c r="E460" t="s">
        <v>78</v>
      </c>
      <c r="F460">
        <f t="array" ref="F460">SUM(_xlfn.MAP(_xlfn.SEQUENCE(4),_xlfn.LAMBDA(_xlpm.i,POWER(36,4-_xlpm.i)*_xlfn.MAP(MID(代码表[[#This Row],[代码]],_xlpm.i,1),_xlfn.LAMBDA(_xlpm.a,IF(CODE(_xlpm.a)&gt;64,CODE(_xlpm.a)-55,CODE(_xlpm.a)-48))))))</f>
        <v>51911</v>
      </c>
      <c r="G460" s="10" t="str">
        <f t="array" ref="G460">IFERROR(INDEX(角色MOD表[],MATCH(1,(角色MOD表[名称]=A460)*(角色MOD表[品质]=E460)*IF(D460="",1,(角色MOD表[属性]="")+ISNUMBER(FIND(D460,角色MOD表[属性]))),0),2),INDEX(武器MOD表[],MATCH(1,(武器MOD表[名称]=A460)*(武器MOD表[品质]=E460)*((武器MOD表[类型]=C460)+(武器MOD表[限定]=C460)),0),2))</f>
        <v>审判者</v>
      </c>
    </row>
    <row r="461" spans="1:7">
      <c r="A461" t="s">
        <v>24</v>
      </c>
      <c r="B461" s="50" t="s">
        <v>1275</v>
      </c>
      <c r="C461" t="s">
        <v>16</v>
      </c>
      <c r="D461" t="s">
        <v>23</v>
      </c>
      <c r="E461" t="s">
        <v>78</v>
      </c>
      <c r="F461">
        <f t="array" ref="F461">SUM(_xlfn.MAP(_xlfn.SEQUENCE(4),_xlfn.LAMBDA(_xlpm.i,POWER(36,4-_xlpm.i)*_xlfn.MAP(MID(代码表[[#This Row],[代码]],_xlpm.i,1),_xlfn.LAMBDA(_xlpm.a,IF(CODE(_xlpm.a)&gt;64,CODE(_xlpm.a)-55,CODE(_xlpm.a)-48))))))</f>
        <v>51921</v>
      </c>
      <c r="G461" s="10" t="str">
        <f t="array" ref="G461">IFERROR(INDEX(角色MOD表[],MATCH(1,(角色MOD表[名称]=A461)*(角色MOD表[品质]=E461)*IF(D461="",1,(角色MOD表[属性]="")+ISNUMBER(FIND(D461,角色MOD表[属性]))),0),2),INDEX(武器MOD表[],MATCH(1,(武器MOD表[名称]=A461)*(武器MOD表[品质]=E461)*((武器MOD表[类型]=C461)+(武器MOD表[限定]=C461)),0),2))</f>
        <v>巨鲸</v>
      </c>
    </row>
    <row r="462" spans="1:7">
      <c r="A462" t="s">
        <v>435</v>
      </c>
      <c r="B462" s="50" t="s">
        <v>1276</v>
      </c>
      <c r="C462" t="s">
        <v>16</v>
      </c>
      <c r="D462" t="s">
        <v>23</v>
      </c>
      <c r="E462" t="s">
        <v>78</v>
      </c>
      <c r="F462">
        <f t="array" ref="F462">SUM(_xlfn.MAP(_xlfn.SEQUENCE(4),_xlfn.LAMBDA(_xlpm.i,POWER(36,4-_xlpm.i)*_xlfn.MAP(MID(代码表[[#This Row],[代码]],_xlpm.i,1),_xlfn.LAMBDA(_xlpm.a,IF(CODE(_xlpm.a)&gt;64,CODE(_xlpm.a)-55,CODE(_xlpm.a)-48))))))</f>
        <v>51922</v>
      </c>
      <c r="G462" s="10" t="str">
        <f t="array" ref="G462">IFERROR(INDEX(角色MOD表[],MATCH(1,(角色MOD表[名称]=A462)*(角色MOD表[品质]=E462)*IF(D462="",1,(角色MOD表[属性]="")+ISNUMBER(FIND(D462,角色MOD表[属性]))),0),2),INDEX(武器MOD表[],MATCH(1,(武器MOD表[名称]=A462)*(武器MOD表[品质]=E462)*((武器MOD表[类型]=C462)+(武器MOD表[限定]=C462)),0),2))</f>
        <v>巨鲸</v>
      </c>
    </row>
    <row r="463" spans="1:7">
      <c r="A463" t="s">
        <v>1086</v>
      </c>
      <c r="B463" s="50" t="s">
        <v>1277</v>
      </c>
      <c r="C463" t="s">
        <v>16</v>
      </c>
      <c r="D463" t="s">
        <v>37</v>
      </c>
      <c r="E463" t="s">
        <v>78</v>
      </c>
      <c r="F463">
        <f t="array" ref="F463">SUM(_xlfn.MAP(_xlfn.SEQUENCE(4),_xlfn.LAMBDA(_xlpm.i,POWER(36,4-_xlpm.i)*_xlfn.MAP(MID(代码表[[#This Row],[代码]],_xlpm.i,1),_xlfn.LAMBDA(_xlpm.a,IF(CODE(_xlpm.a)&gt;64,CODE(_xlpm.a)-55,CODE(_xlpm.a)-48))))))</f>
        <v>51931</v>
      </c>
      <c r="G463" s="10" t="str">
        <f t="array" ref="G463">IFERROR(INDEX(角色MOD表[],MATCH(1,(角色MOD表[名称]=A463)*(角色MOD表[品质]=E463)*IF(D463="",1,(角色MOD表[属性]="")+ISNUMBER(FIND(D463,角色MOD表[属性]))),0),2),INDEX(武器MOD表[],MATCH(1,(武器MOD表[名称]=A463)*(武器MOD表[品质]=E463)*((武器MOD表[类型]=C463)+(武器MOD表[限定]=C463)),0),2))</f>
        <v>焰灵</v>
      </c>
    </row>
    <row r="464" spans="1:7">
      <c r="A464" t="s">
        <v>1088</v>
      </c>
      <c r="B464" s="50" t="s">
        <v>1278</v>
      </c>
      <c r="C464" t="s">
        <v>16</v>
      </c>
      <c r="D464" t="s">
        <v>10</v>
      </c>
      <c r="E464" t="s">
        <v>78</v>
      </c>
      <c r="F464">
        <f t="array" ref="F464">SUM(_xlfn.MAP(_xlfn.SEQUENCE(4),_xlfn.LAMBDA(_xlpm.i,POWER(36,4-_xlpm.i)*_xlfn.MAP(MID(代码表[[#This Row],[代码]],_xlpm.i,1),_xlfn.LAMBDA(_xlpm.a,IF(CODE(_xlpm.a)&gt;64,CODE(_xlpm.a)-55,CODE(_xlpm.a)-48))))))</f>
        <v>51941</v>
      </c>
      <c r="G464" s="10" t="str">
        <f t="array" ref="G464">IFERROR(INDEX(角色MOD表[],MATCH(1,(角色MOD表[名称]=A464)*(角色MOD表[品质]=E464)*IF(D464="",1,(角色MOD表[属性]="")+ISNUMBER(FIND(D464,角色MOD表[属性]))),0),2),INDEX(武器MOD表[],MATCH(1,(武器MOD表[名称]=A464)*(武器MOD表[品质]=E464)*((武器MOD表[类型]=C464)+(武器MOD表[限定]=C464)),0),2))</f>
        <v>夜使</v>
      </c>
    </row>
    <row r="465" spans="1:7">
      <c r="A465" t="s">
        <v>1090</v>
      </c>
      <c r="B465" s="50">
        <v>1433</v>
      </c>
      <c r="C465" t="s">
        <v>16</v>
      </c>
      <c r="D465" t="s">
        <v>43</v>
      </c>
      <c r="E465" t="s">
        <v>78</v>
      </c>
      <c r="F465">
        <f t="array" ref="F465">SUM(_xlfn.MAP(_xlfn.SEQUENCE(4),_xlfn.LAMBDA(_xlpm.i,POWER(36,4-_xlpm.i)*_xlfn.MAP(MID(代码表[[#This Row],[代码]],_xlpm.i,1),_xlfn.LAMBDA(_xlpm.a,IF(CODE(_xlpm.a)&gt;64,CODE(_xlpm.a)-55,CODE(_xlpm.a)-48))))))</f>
        <v>51951</v>
      </c>
      <c r="G465" s="10" t="str">
        <f t="array" ref="G465">IFERROR(INDEX(角色MOD表[],MATCH(1,(角色MOD表[名称]=A465)*(角色MOD表[品质]=E465)*IF(D465="",1,(角色MOD表[属性]="")+ISNUMBER(FIND(D465,角色MOD表[属性]))),0),2),INDEX(武器MOD表[],MATCH(1,(武器MOD表[名称]=A465)*(武器MOD表[品质]=E465)*((武器MOD表[类型]=C465)+(武器MOD表[限定]=C465)),0),2))</f>
        <v>黄衣</v>
      </c>
    </row>
    <row r="466" spans="1:7">
      <c r="A466" t="s">
        <v>111</v>
      </c>
      <c r="B466" s="50">
        <v>1434</v>
      </c>
      <c r="C466" t="s">
        <v>16</v>
      </c>
      <c r="D466" t="s">
        <v>43</v>
      </c>
      <c r="E466" t="s">
        <v>78</v>
      </c>
      <c r="F466">
        <f t="array" ref="F466">SUM(_xlfn.MAP(_xlfn.SEQUENCE(4),_xlfn.LAMBDA(_xlpm.i,POWER(36,4-_xlpm.i)*_xlfn.MAP(MID(代码表[[#This Row],[代码]],_xlpm.i,1),_xlfn.LAMBDA(_xlpm.a,IF(CODE(_xlpm.a)&gt;64,CODE(_xlpm.a)-55,CODE(_xlpm.a)-48))))))</f>
        <v>51952</v>
      </c>
      <c r="G466" s="10" t="str">
        <f t="array" ref="G466">IFERROR(INDEX(角色MOD表[],MATCH(1,(角色MOD表[名称]=A466)*(角色MOD表[品质]=E466)*IF(D466="",1,(角色MOD表[属性]="")+ISNUMBER(FIND(D466,角色MOD表[属性]))),0),2),INDEX(武器MOD表[],MATCH(1,(武器MOD表[名称]=A466)*(武器MOD表[品质]=E466)*((武器MOD表[类型]=C466)+(武器MOD表[限定]=C466)),0),2))</f>
        <v>黄衣</v>
      </c>
    </row>
    <row r="467" spans="1:7">
      <c r="A467" t="s">
        <v>109</v>
      </c>
      <c r="B467" s="50" t="s">
        <v>1279</v>
      </c>
      <c r="C467" t="s">
        <v>16</v>
      </c>
      <c r="D467" t="s">
        <v>72</v>
      </c>
      <c r="E467" t="s">
        <v>78</v>
      </c>
      <c r="F467">
        <f t="array" ref="F467">SUM(_xlfn.MAP(_xlfn.SEQUENCE(4),_xlfn.LAMBDA(_xlpm.i,POWER(36,4-_xlpm.i)*_xlfn.MAP(MID(代码表[[#This Row],[代码]],_xlpm.i,1),_xlfn.LAMBDA(_xlpm.a,IF(CODE(_xlpm.a)&gt;64,CODE(_xlpm.a)-55,CODE(_xlpm.a)-48))))))</f>
        <v>51961</v>
      </c>
      <c r="G467" s="10" t="str">
        <f t="array" ref="G467">IFERROR(INDEX(角色MOD表[],MATCH(1,(角色MOD表[名称]=A467)*(角色MOD表[品质]=E467)*IF(D467="",1,(角色MOD表[属性]="")+ISNUMBER(FIND(D467,角色MOD表[属性]))),0),2),INDEX(武器MOD表[],MATCH(1,(武器MOD表[名称]=A467)*(武器MOD表[品质]=E467)*((武器MOD表[类型]=C467)+(武器MOD表[限定]=C467)),0),2))</f>
        <v>金乌</v>
      </c>
    </row>
    <row r="468" spans="1:7">
      <c r="A468" t="s">
        <v>73</v>
      </c>
      <c r="B468" s="50" t="s">
        <v>1280</v>
      </c>
      <c r="C468" t="s">
        <v>16</v>
      </c>
      <c r="D468" t="s">
        <v>72</v>
      </c>
      <c r="E468" t="s">
        <v>78</v>
      </c>
      <c r="F468">
        <f t="array" ref="F468">SUM(_xlfn.MAP(_xlfn.SEQUENCE(4),_xlfn.LAMBDA(_xlpm.i,POWER(36,4-_xlpm.i)*_xlfn.MAP(MID(代码表[[#This Row],[代码]],_xlpm.i,1),_xlfn.LAMBDA(_xlpm.a,IF(CODE(_xlpm.a)&gt;64,CODE(_xlpm.a)-55,CODE(_xlpm.a)-48))))))</f>
        <v>51962</v>
      </c>
      <c r="G468" s="10" t="str">
        <f t="array" ref="G468">IFERROR(INDEX(角色MOD表[],MATCH(1,(角色MOD表[名称]=A468)*(角色MOD表[品质]=E468)*IF(D468="",1,(角色MOD表[属性]="")+ISNUMBER(FIND(D468,角色MOD表[属性]))),0),2),INDEX(武器MOD表[],MATCH(1,(武器MOD表[名称]=A468)*(武器MOD表[品质]=E468)*((武器MOD表[类型]=C468)+(武器MOD表[限定]=C468)),0),2))</f>
        <v>金乌</v>
      </c>
    </row>
    <row r="469" spans="1:7">
      <c r="A469" t="s">
        <v>713</v>
      </c>
      <c r="B469" s="50" t="s">
        <v>1281</v>
      </c>
      <c r="C469" t="s">
        <v>140</v>
      </c>
      <c r="E469" t="s">
        <v>78</v>
      </c>
      <c r="F469" s="4">
        <f t="array" ref="F469">SUM(_xlfn.MAP(_xlfn.SEQUENCE(4),_xlfn.LAMBDA(_xlpm.i,POWER(36,4-_xlpm.i)*_xlfn.MAP(MID(代码表[[#This Row],[代码]],_xlpm.i,1),_xlfn.LAMBDA(_xlpm.a,IF(CODE(_xlpm.a)&gt;64,CODE(_xlpm.a)-55,CODE(_xlpm.a)-48))))))</f>
        <v>52001</v>
      </c>
      <c r="G469" s="10" t="str">
        <f t="array" ref="G469">IFERROR(INDEX(角色MOD表[],MATCH(1,(角色MOD表[名称]=A469)*(角色MOD表[品质]=E469)*IF(D469="",1,(角色MOD表[属性]="")+ISNUMBER(FIND(D469,角色MOD表[属性]))),0),2),INDEX(武器MOD表[],MATCH(1,(武器MOD表[名称]=A469)*(武器MOD表[品质]=E469)*((武器MOD表[类型]=C469)+(武器MOD表[限定]=C469)),0),2))</f>
        <v>冥犬</v>
      </c>
    </row>
    <row r="470" spans="1:7">
      <c r="A470" t="s">
        <v>153</v>
      </c>
      <c r="B470" s="50" t="s">
        <v>1282</v>
      </c>
      <c r="C470" t="s">
        <v>140</v>
      </c>
      <c r="E470" t="s">
        <v>78</v>
      </c>
      <c r="F470" s="4">
        <f t="array" ref="F470">SUM(_xlfn.MAP(_xlfn.SEQUENCE(4),_xlfn.LAMBDA(_xlpm.i,POWER(36,4-_xlpm.i)*_xlfn.MAP(MID(代码表[[#This Row],[代码]],_xlpm.i,1),_xlfn.LAMBDA(_xlpm.a,IF(CODE(_xlpm.a)&gt;64,CODE(_xlpm.a)-55,CODE(_xlpm.a)-48))))))</f>
        <v>52004</v>
      </c>
      <c r="G470" s="10" t="str">
        <f t="array" ref="G470">IFERROR(INDEX(角色MOD表[],MATCH(1,(角色MOD表[名称]=A470)*(角色MOD表[品质]=E470)*IF(D470="",1,(角色MOD表[属性]="")+ISNUMBER(FIND(D470,角色MOD表[属性]))),0),2),INDEX(武器MOD表[],MATCH(1,(武器MOD表[名称]=A470)*(武器MOD表[品质]=E470)*((武器MOD表[类型]=C470)+(武器MOD表[限定]=C470)),0),2))</f>
        <v>冥犬</v>
      </c>
    </row>
    <row r="471" spans="1:7">
      <c r="A471" t="s">
        <v>809</v>
      </c>
      <c r="B471" s="50" t="s">
        <v>1283</v>
      </c>
      <c r="C471" t="s">
        <v>140</v>
      </c>
      <c r="E471" t="s">
        <v>78</v>
      </c>
      <c r="F471" s="4">
        <f t="array" ref="F471">SUM(_xlfn.MAP(_xlfn.SEQUENCE(4),_xlfn.LAMBDA(_xlpm.i,POWER(36,4-_xlpm.i)*_xlfn.MAP(MID(代码表[[#This Row],[代码]],_xlpm.i,1),_xlfn.LAMBDA(_xlpm.a,IF(CODE(_xlpm.a)&gt;64,CODE(_xlpm.a)-55,CODE(_xlpm.a)-48))))))</f>
        <v>52005</v>
      </c>
      <c r="G471" s="10" t="str">
        <f t="array" ref="G471">IFERROR(INDEX(角色MOD表[],MATCH(1,(角色MOD表[名称]=A471)*(角色MOD表[品质]=E471)*IF(D471="",1,(角色MOD表[属性]="")+ISNUMBER(FIND(D471,角色MOD表[属性]))),0),2),INDEX(武器MOD表[],MATCH(1,(武器MOD表[名称]=A471)*(武器MOD表[品质]=E471)*((武器MOD表[类型]=C471)+(武器MOD表[限定]=C471)),0),2))</f>
        <v>冥犬</v>
      </c>
    </row>
    <row r="472" spans="1:7">
      <c r="A472" t="s">
        <v>790</v>
      </c>
      <c r="B472" s="50" t="s">
        <v>1284</v>
      </c>
      <c r="C472" t="s">
        <v>140</v>
      </c>
      <c r="E472" t="s">
        <v>78</v>
      </c>
      <c r="F472" s="4">
        <f t="array" ref="F472">SUM(_xlfn.MAP(_xlfn.SEQUENCE(4),_xlfn.LAMBDA(_xlpm.i,POWER(36,4-_xlpm.i)*_xlfn.MAP(MID(代码表[[#This Row],[代码]],_xlpm.i,1),_xlfn.LAMBDA(_xlpm.a,IF(CODE(_xlpm.a)&gt;64,CODE(_xlpm.a)-55,CODE(_xlpm.a)-48))))))</f>
        <v>52007</v>
      </c>
      <c r="G472" s="10" t="str">
        <f t="array" ref="G472">IFERROR(INDEX(角色MOD表[],MATCH(1,(角色MOD表[名称]=A472)*(角色MOD表[品质]=E472)*IF(D472="",1,(角色MOD表[属性]="")+ISNUMBER(FIND(D472,角色MOD表[属性]))),0),2),INDEX(武器MOD表[],MATCH(1,(武器MOD表[名称]=A472)*(武器MOD表[品质]=E472)*((武器MOD表[类型]=C472)+(武器MOD表[限定]=C472)),0),2))</f>
        <v>冥犬</v>
      </c>
    </row>
    <row r="473" spans="1:7">
      <c r="A473" t="s">
        <v>792</v>
      </c>
      <c r="B473" s="50" t="s">
        <v>1285</v>
      </c>
      <c r="C473" t="s">
        <v>140</v>
      </c>
      <c r="E473" t="s">
        <v>78</v>
      </c>
      <c r="F473" s="4">
        <f t="array" ref="F473">SUM(_xlfn.MAP(_xlfn.SEQUENCE(4),_xlfn.LAMBDA(_xlpm.i,POWER(36,4-_xlpm.i)*_xlfn.MAP(MID(代码表[[#This Row],[代码]],_xlpm.i,1),_xlfn.LAMBDA(_xlpm.a,IF(CODE(_xlpm.a)&gt;64,CODE(_xlpm.a)-55,CODE(_xlpm.a)-48))))))</f>
        <v>52008</v>
      </c>
      <c r="G473" s="10" t="str">
        <f t="array" ref="G473">IFERROR(INDEX(角色MOD表[],MATCH(1,(角色MOD表[名称]=A473)*(角色MOD表[品质]=E473)*IF(D473="",1,(角色MOD表[属性]="")+ISNUMBER(FIND(D473,角色MOD表[属性]))),0),2),INDEX(武器MOD表[],MATCH(1,(武器MOD表[名称]=A473)*(武器MOD表[品质]=E473)*((武器MOD表[类型]=C473)+(武器MOD表[限定]=C473)),0),2))</f>
        <v>冥犬</v>
      </c>
    </row>
    <row r="474" spans="1:7">
      <c r="A474" t="s">
        <v>155</v>
      </c>
      <c r="B474" s="50">
        <v>1479</v>
      </c>
      <c r="C474" t="s">
        <v>140</v>
      </c>
      <c r="E474" t="s">
        <v>78</v>
      </c>
      <c r="F474" s="4">
        <f t="array" ref="F474">SUM(_xlfn.MAP(_xlfn.SEQUENCE(4),_xlfn.LAMBDA(_xlpm.i,POWER(36,4-_xlpm.i)*_xlfn.MAP(MID(代码表[[#This Row],[代码]],_xlpm.i,1),_xlfn.LAMBDA(_xlpm.a,IF(CODE(_xlpm.a)&gt;64,CODE(_xlpm.a)-55,CODE(_xlpm.a)-48))))))</f>
        <v>52101</v>
      </c>
      <c r="G474" s="10" t="str">
        <f t="array" ref="G474">IFERROR(INDEX(角色MOD表[],MATCH(1,(角色MOD表[名称]=A474)*(角色MOD表[品质]=E474)*IF(D474="",1,(角色MOD表[属性]="")+ISNUMBER(FIND(D474,角色MOD表[属性]))),0),2),INDEX(武器MOD表[],MATCH(1,(武器MOD表[名称]=A474)*(武器MOD表[品质]=E474)*((武器MOD表[类型]=C474)+(武器MOD表[限定]=C474)),0),2))</f>
        <v>冥犬</v>
      </c>
    </row>
    <row r="475" spans="1:7">
      <c r="A475" t="s">
        <v>720</v>
      </c>
      <c r="B475" s="50" t="s">
        <v>1286</v>
      </c>
      <c r="C475" t="s">
        <v>140</v>
      </c>
      <c r="E475" t="s">
        <v>78</v>
      </c>
      <c r="F475" s="4">
        <f t="array" ref="F475">SUM(_xlfn.MAP(_xlfn.SEQUENCE(4),_xlfn.LAMBDA(_xlpm.i,POWER(36,4-_xlpm.i)*_xlfn.MAP(MID(代码表[[#This Row],[代码]],_xlpm.i,1),_xlfn.LAMBDA(_xlpm.a,IF(CODE(_xlpm.a)&gt;64,CODE(_xlpm.a)-55,CODE(_xlpm.a)-48))))))</f>
        <v>52102</v>
      </c>
      <c r="G475" s="10" t="str">
        <f t="array" ref="G475">IFERROR(INDEX(角色MOD表[],MATCH(1,(角色MOD表[名称]=A475)*(角色MOD表[品质]=E475)*IF(D475="",1,(角色MOD表[属性]="")+ISNUMBER(FIND(D475,角色MOD表[属性]))),0),2),INDEX(武器MOD表[],MATCH(1,(武器MOD表[名称]=A475)*(武器MOD表[品质]=E475)*((武器MOD表[类型]=C475)+(武器MOD表[限定]=C475)),0),2))</f>
        <v>冥犬</v>
      </c>
    </row>
    <row r="476" spans="1:7">
      <c r="A476" t="s">
        <v>722</v>
      </c>
      <c r="B476" s="50" t="s">
        <v>1287</v>
      </c>
      <c r="C476" t="s">
        <v>140</v>
      </c>
      <c r="E476" t="s">
        <v>78</v>
      </c>
      <c r="F476" s="4">
        <f t="array" ref="F476">SUM(_xlfn.MAP(_xlfn.SEQUENCE(4),_xlfn.LAMBDA(_xlpm.i,POWER(36,4-_xlpm.i)*_xlfn.MAP(MID(代码表[[#This Row],[代码]],_xlpm.i,1),_xlfn.LAMBDA(_xlpm.a,IF(CODE(_xlpm.a)&gt;64,CODE(_xlpm.a)-55,CODE(_xlpm.a)-48))))))</f>
        <v>52103</v>
      </c>
      <c r="G476" s="10" t="str">
        <f t="array" ref="G476">IFERROR(INDEX(角色MOD表[],MATCH(1,(角色MOD表[名称]=A476)*(角色MOD表[品质]=E476)*IF(D476="",1,(角色MOD表[属性]="")+ISNUMBER(FIND(D476,角色MOD表[属性]))),0),2),INDEX(武器MOD表[],MATCH(1,(武器MOD表[名称]=A476)*(武器MOD表[品质]=E476)*((武器MOD表[类型]=C476)+(武器MOD表[限定]=C476)),0),2))</f>
        <v>冥犬</v>
      </c>
    </row>
    <row r="477" spans="1:7">
      <c r="A477" t="s">
        <v>713</v>
      </c>
      <c r="B477" s="50" t="s">
        <v>1288</v>
      </c>
      <c r="C477" t="s">
        <v>170</v>
      </c>
      <c r="E477" t="s">
        <v>78</v>
      </c>
      <c r="F477" s="4">
        <f t="array" ref="F477">SUM(_xlfn.MAP(_xlfn.SEQUENCE(4),_xlfn.LAMBDA(_xlpm.i,POWER(36,4-_xlpm.i)*_xlfn.MAP(MID(代码表[[#This Row],[代码]],_xlpm.i,1),_xlfn.LAMBDA(_xlpm.a,IF(CODE(_xlpm.a)&gt;64,CODE(_xlpm.a)-55,CODE(_xlpm.a)-48))))))</f>
        <v>53001</v>
      </c>
      <c r="G477" s="10" t="str">
        <f t="array" ref="G477">IFERROR(INDEX(角色MOD表[],MATCH(1,(角色MOD表[名称]=A477)*(角色MOD表[品质]=E477)*IF(D477="",1,(角色MOD表[属性]="")+ISNUMBER(FIND(D477,角色MOD表[属性]))),0),2),INDEX(武器MOD表[],MATCH(1,(武器MOD表[名称]=A477)*(武器MOD表[品质]=E477)*((武器MOD表[类型]=C477)+(武器MOD表[限定]=C477)),0),2))</f>
        <v>夜魔</v>
      </c>
    </row>
    <row r="478" spans="1:7">
      <c r="A478" t="s">
        <v>153</v>
      </c>
      <c r="B478" s="50" t="s">
        <v>1289</v>
      </c>
      <c r="C478" t="s">
        <v>170</v>
      </c>
      <c r="E478" t="s">
        <v>78</v>
      </c>
      <c r="F478" s="4">
        <f t="array" ref="F478">SUM(_xlfn.MAP(_xlfn.SEQUENCE(4),_xlfn.LAMBDA(_xlpm.i,POWER(36,4-_xlpm.i)*_xlfn.MAP(MID(代码表[[#This Row],[代码]],_xlpm.i,1),_xlfn.LAMBDA(_xlpm.a,IF(CODE(_xlpm.a)&gt;64,CODE(_xlpm.a)-55,CODE(_xlpm.a)-48))))))</f>
        <v>53004</v>
      </c>
      <c r="G478" s="10" t="str">
        <f t="array" ref="G478">IFERROR(INDEX(角色MOD表[],MATCH(1,(角色MOD表[名称]=A478)*(角色MOD表[品质]=E478)*IF(D478="",1,(角色MOD表[属性]="")+ISNUMBER(FIND(D478,角色MOD表[属性]))),0),2),INDEX(武器MOD表[],MATCH(1,(武器MOD表[名称]=A478)*(武器MOD表[品质]=E478)*((武器MOD表[类型]=C478)+(武器MOD表[限定]=C478)),0),2))</f>
        <v>夜魔</v>
      </c>
    </row>
    <row r="479" spans="1:7">
      <c r="A479" t="s">
        <v>173</v>
      </c>
      <c r="B479" s="50" t="s">
        <v>1290</v>
      </c>
      <c r="C479" t="s">
        <v>170</v>
      </c>
      <c r="E479" t="s">
        <v>78</v>
      </c>
      <c r="F479" s="4">
        <f t="array" ref="F479">SUM(_xlfn.MAP(_xlfn.SEQUENCE(4),_xlfn.LAMBDA(_xlpm.i,POWER(36,4-_xlpm.i)*_xlfn.MAP(MID(代码表[[#This Row],[代码]],_xlpm.i,1),_xlfn.LAMBDA(_xlpm.a,IF(CODE(_xlpm.a)&gt;64,CODE(_xlpm.a)-55,CODE(_xlpm.a)-48))))))</f>
        <v>53005</v>
      </c>
      <c r="G479" s="10" t="str">
        <f t="array" ref="G479">IFERROR(INDEX(角色MOD表[],MATCH(1,(角色MOD表[名称]=A479)*(角色MOD表[品质]=E479)*IF(D479="",1,(角色MOD表[属性]="")+ISNUMBER(FIND(D479,角色MOD表[属性]))),0),2),INDEX(武器MOD表[],MATCH(1,(武器MOD表[名称]=A479)*(武器MOD表[品质]=E479)*((武器MOD表[类型]=C479)+(武器MOD表[限定]=C479)),0),2))</f>
        <v>夜魔</v>
      </c>
    </row>
    <row r="480" spans="1:7">
      <c r="A480" t="s">
        <v>790</v>
      </c>
      <c r="B480" s="50" t="s">
        <v>1291</v>
      </c>
      <c r="C480" t="s">
        <v>170</v>
      </c>
      <c r="E480" t="s">
        <v>78</v>
      </c>
      <c r="F480" s="4">
        <f t="array" ref="F480">SUM(_xlfn.MAP(_xlfn.SEQUENCE(4),_xlfn.LAMBDA(_xlpm.i,POWER(36,4-_xlpm.i)*_xlfn.MAP(MID(代码表[[#This Row],[代码]],_xlpm.i,1),_xlfn.LAMBDA(_xlpm.a,IF(CODE(_xlpm.a)&gt;64,CODE(_xlpm.a)-55,CODE(_xlpm.a)-48))))))</f>
        <v>53007</v>
      </c>
      <c r="G480" s="10" t="str">
        <f t="array" ref="G480">IFERROR(INDEX(角色MOD表[],MATCH(1,(角色MOD表[名称]=A480)*(角色MOD表[品质]=E480)*IF(D480="",1,(角色MOD表[属性]="")+ISNUMBER(FIND(D480,角色MOD表[属性]))),0),2),INDEX(武器MOD表[],MATCH(1,(武器MOD表[名称]=A480)*(武器MOD表[品质]=E480)*((武器MOD表[类型]=C480)+(武器MOD表[限定]=C480)),0),2))</f>
        <v>夜魔</v>
      </c>
    </row>
    <row r="481" spans="1:7">
      <c r="A481" t="s">
        <v>792</v>
      </c>
      <c r="B481" s="50" t="s">
        <v>1292</v>
      </c>
      <c r="C481" t="s">
        <v>170</v>
      </c>
      <c r="E481" t="s">
        <v>78</v>
      </c>
      <c r="F481" s="4">
        <f t="array" ref="F481">SUM(_xlfn.MAP(_xlfn.SEQUENCE(4),_xlfn.LAMBDA(_xlpm.i,POWER(36,4-_xlpm.i)*_xlfn.MAP(MID(代码表[[#This Row],[代码]],_xlpm.i,1),_xlfn.LAMBDA(_xlpm.a,IF(CODE(_xlpm.a)&gt;64,CODE(_xlpm.a)-55,CODE(_xlpm.a)-48))))))</f>
        <v>53008</v>
      </c>
      <c r="G481" s="10" t="str">
        <f t="array" ref="G481">IFERROR(INDEX(角色MOD表[],MATCH(1,(角色MOD表[名称]=A481)*(角色MOD表[品质]=E481)*IF(D481="",1,(角色MOD表[属性]="")+ISNUMBER(FIND(D481,角色MOD表[属性]))),0),2),INDEX(武器MOD表[],MATCH(1,(武器MOD表[名称]=A481)*(武器MOD表[品质]=E481)*((武器MOD表[类型]=C481)+(武器MOD表[限定]=C481)),0),2))</f>
        <v>夜魔</v>
      </c>
    </row>
    <row r="482" spans="1:7">
      <c r="A482" t="s">
        <v>155</v>
      </c>
      <c r="B482" s="50" t="s">
        <v>1293</v>
      </c>
      <c r="C482" t="s">
        <v>170</v>
      </c>
      <c r="E482" t="s">
        <v>78</v>
      </c>
      <c r="F482" s="4">
        <f t="array" ref="F482">SUM(_xlfn.MAP(_xlfn.SEQUENCE(4),_xlfn.LAMBDA(_xlpm.i,POWER(36,4-_xlpm.i)*_xlfn.MAP(MID(代码表[[#This Row],[代码]],_xlpm.i,1),_xlfn.LAMBDA(_xlpm.a,IF(CODE(_xlpm.a)&gt;64,CODE(_xlpm.a)-55,CODE(_xlpm.a)-48))))))</f>
        <v>53101</v>
      </c>
      <c r="G482" s="10" t="str">
        <f t="array" ref="G482">IFERROR(INDEX(角色MOD表[],MATCH(1,(角色MOD表[名称]=A482)*(角色MOD表[品质]=E482)*IF(D482="",1,(角色MOD表[属性]="")+ISNUMBER(FIND(D482,角色MOD表[属性]))),0),2),INDEX(武器MOD表[],MATCH(1,(武器MOD表[名称]=A482)*(武器MOD表[品质]=E482)*((武器MOD表[类型]=C482)+(武器MOD表[限定]=C482)),0),2))</f>
        <v>夜魔</v>
      </c>
    </row>
    <row r="483" spans="1:10">
      <c r="A483" t="s">
        <v>720</v>
      </c>
      <c r="B483" s="50" t="s">
        <v>1294</v>
      </c>
      <c r="C483" t="s">
        <v>170</v>
      </c>
      <c r="E483" t="s">
        <v>78</v>
      </c>
      <c r="F483" s="4">
        <f t="array" ref="F483">SUM(_xlfn.MAP(_xlfn.SEQUENCE(4),_xlfn.LAMBDA(_xlpm.i,POWER(36,4-_xlpm.i)*_xlfn.MAP(MID(代码表[[#This Row],[代码]],_xlpm.i,1),_xlfn.LAMBDA(_xlpm.a,IF(CODE(_xlpm.a)&gt;64,CODE(_xlpm.a)-55,CODE(_xlpm.a)-48))))))</f>
        <v>53102</v>
      </c>
      <c r="G483" s="10" t="str">
        <f t="array" ref="G483">IFERROR(INDEX(角色MOD表[],MATCH(1,(角色MOD表[名称]=A483)*(角色MOD表[品质]=E483)*IF(D483="",1,(角色MOD表[属性]="")+ISNUMBER(FIND(D483,角色MOD表[属性]))),0),2),INDEX(武器MOD表[],MATCH(1,(武器MOD表[名称]=A483)*(武器MOD表[品质]=E483)*((武器MOD表[类型]=C483)+(武器MOD表[限定]=C483)),0),2))</f>
        <v>夜魔</v>
      </c>
      <c r="J483" s="10"/>
    </row>
    <row r="484" spans="1:10">
      <c r="A484" t="s">
        <v>722</v>
      </c>
      <c r="B484" s="50" t="s">
        <v>1295</v>
      </c>
      <c r="C484" t="s">
        <v>170</v>
      </c>
      <c r="E484" t="s">
        <v>78</v>
      </c>
      <c r="F484" s="4">
        <f t="array" ref="F484">SUM(_xlfn.MAP(_xlfn.SEQUENCE(4),_xlfn.LAMBDA(_xlpm.i,POWER(36,4-_xlpm.i)*_xlfn.MAP(MID(代码表[[#This Row],[代码]],_xlpm.i,1),_xlfn.LAMBDA(_xlpm.a,IF(CODE(_xlpm.a)&gt;64,CODE(_xlpm.a)-55,CODE(_xlpm.a)-48))))))</f>
        <v>53103</v>
      </c>
      <c r="G484" s="10" t="str">
        <f t="array" ref="G484">IFERROR(INDEX(角色MOD表[],MATCH(1,(角色MOD表[名称]=A484)*(角色MOD表[品质]=E484)*IF(D484="",1,(角色MOD表[属性]="")+ISNUMBER(FIND(D484,角色MOD表[属性]))),0),2),INDEX(武器MOD表[],MATCH(1,(武器MOD表[名称]=A484)*(武器MOD表[品质]=E484)*((武器MOD表[类型]=C484)+(武器MOD表[限定]=C484)),0),2))</f>
        <v>夜魔</v>
      </c>
      <c r="J484" s="10"/>
    </row>
    <row r="485" spans="1:10">
      <c r="A485" t="s">
        <v>713</v>
      </c>
      <c r="B485" s="50" t="s">
        <v>1296</v>
      </c>
      <c r="C485" t="s">
        <v>732</v>
      </c>
      <c r="E485" s="9" t="s">
        <v>78</v>
      </c>
      <c r="F485" s="4">
        <f>SUM(_xlfn.MAP(_xlfn.SEQUENCE(4),_xlfn.LAMBDA(_xlpm.i,POWER(36,4-_xlpm.i)*_xlfn.MAP(MID(代码表[[#This Row],[代码]],_xlpm.i,1),_xlfn.LAMBDA(_xlpm.a,IF(CODE(_xlpm.a)&gt;64,CODE(_xlpm.a)-55,CODE(_xlpm.a)-48))))))</f>
        <v>54001</v>
      </c>
      <c r="G485" s="10" t="str">
        <f t="array" ref="G485">IFERROR(INDEX(角色MOD表[],MATCH(1,(角色MOD表[名称]=A485)*(角色MOD表[品质]=E485)*IF(D485="",1,(角色MOD表[属性]="")+ISNUMBER(FIND(D485,角色MOD表[属性]))),0),2),INDEX(武器MOD表[],MATCH(1,(武器MOD表[名称]=A485)*(武器MOD表[品质]=E485)*((武器MOD表[类型]=C485)+(武器MOD表[限定]=C485)),0),2))</f>
        <v>异化冥犬</v>
      </c>
      <c r="J485" s="10"/>
    </row>
    <row r="486" spans="1:7">
      <c r="A486" t="s">
        <v>177</v>
      </c>
      <c r="B486" s="50" t="s">
        <v>1297</v>
      </c>
      <c r="C486" t="s">
        <v>732</v>
      </c>
      <c r="E486" s="9" t="s">
        <v>78</v>
      </c>
      <c r="F486" s="4">
        <f>SUM(_xlfn.MAP(_xlfn.SEQUENCE(4),_xlfn.LAMBDA(_xlpm.i,POWER(36,4-_xlpm.i)*_xlfn.MAP(MID(代码表[[#This Row],[代码]],_xlpm.i,1),_xlfn.LAMBDA(_xlpm.a,IF(CODE(_xlpm.a)&gt;64,CODE(_xlpm.a)-55,CODE(_xlpm.a)-48))))))</f>
        <v>54002</v>
      </c>
      <c r="G486" s="10" t="str">
        <f t="array" ref="G486">IFERROR(INDEX(角色MOD表[],MATCH(1,(角色MOD表[名称]=A486)*(角色MOD表[品质]=E486)*IF(D486="",1,(角色MOD表[属性]="")+ISNUMBER(FIND(D486,角色MOD表[属性]))),0),2),INDEX(武器MOD表[],MATCH(1,(武器MOD表[名称]=A486)*(武器MOD表[品质]=E486)*((武器MOD表[类型]=C486)+(武器MOD表[限定]=C486)),0),2))</f>
        <v>异化冥犬</v>
      </c>
    </row>
    <row r="487" spans="1:7">
      <c r="A487" t="s">
        <v>154</v>
      </c>
      <c r="B487" s="50" t="s">
        <v>1298</v>
      </c>
      <c r="C487" t="s">
        <v>732</v>
      </c>
      <c r="E487" s="9" t="s">
        <v>78</v>
      </c>
      <c r="F487" s="4">
        <f>SUM(_xlfn.MAP(_xlfn.SEQUENCE(4),_xlfn.LAMBDA(_xlpm.i,POWER(36,4-_xlpm.i)*_xlfn.MAP(MID(代码表[[#This Row],[代码]],_xlpm.i,1),_xlfn.LAMBDA(_xlpm.a,IF(CODE(_xlpm.a)&gt;64,CODE(_xlpm.a)-55,CODE(_xlpm.a)-48))))))</f>
        <v>54003</v>
      </c>
      <c r="G487" s="10" t="str">
        <f t="array" ref="G487">IFERROR(INDEX(角色MOD表[],MATCH(1,(角色MOD表[名称]=A487)*(角色MOD表[品质]=E487)*IF(D487="",1,(角色MOD表[属性]="")+ISNUMBER(FIND(D487,角色MOD表[属性]))),0),2),INDEX(武器MOD表[],MATCH(1,(武器MOD表[名称]=A487)*(武器MOD表[品质]=E487)*((武器MOD表[类型]=C487)+(武器MOD表[限定]=C487)),0),2))</f>
        <v>异化冥犬</v>
      </c>
    </row>
    <row r="488" spans="1:7">
      <c r="A488" t="s">
        <v>153</v>
      </c>
      <c r="B488" s="51" t="s">
        <v>1299</v>
      </c>
      <c r="C488" t="s">
        <v>732</v>
      </c>
      <c r="E488" s="9" t="s">
        <v>78</v>
      </c>
      <c r="F488" s="4">
        <f>SUM(_xlfn.MAP(_xlfn.SEQUENCE(4),_xlfn.LAMBDA(_xlpm.i,POWER(36,4-_xlpm.i)*_xlfn.MAP(MID(代码表[[#This Row],[代码]],_xlpm.i,1),_xlfn.LAMBDA(_xlpm.a,IF(CODE(_xlpm.a)&gt;64,CODE(_xlpm.a)-55,CODE(_xlpm.a)-48))))))</f>
        <v>54004</v>
      </c>
      <c r="G488" s="10" t="str">
        <f t="array" ref="G488">IFERROR(INDEX(角色MOD表[],MATCH(1,(角色MOD表[名称]=A488)*(角色MOD表[品质]=E488)*IF(D488="",1,(角色MOD表[属性]="")+ISNUMBER(FIND(D488,角色MOD表[属性]))),0),2),INDEX(武器MOD表[],MATCH(1,(武器MOD表[名称]=A488)*(武器MOD表[品质]=E488)*((武器MOD表[类型]=C488)+(武器MOD表[限定]=C488)),0),2))</f>
        <v>异化冥犬</v>
      </c>
    </row>
    <row r="489" spans="1:7">
      <c r="A489" t="s">
        <v>809</v>
      </c>
      <c r="B489" s="50" t="s">
        <v>1300</v>
      </c>
      <c r="C489" t="s">
        <v>732</v>
      </c>
      <c r="E489" s="9" t="s">
        <v>78</v>
      </c>
      <c r="F489" s="4">
        <f>SUM(_xlfn.MAP(_xlfn.SEQUENCE(4),_xlfn.LAMBDA(_xlpm.i,POWER(36,4-_xlpm.i)*_xlfn.MAP(MID(代码表[[#This Row],[代码]],_xlpm.i,1),_xlfn.LAMBDA(_xlpm.a,IF(CODE(_xlpm.a)&gt;64,CODE(_xlpm.a)-55,CODE(_xlpm.a)-48))))))</f>
        <v>54005</v>
      </c>
      <c r="G489" s="10" t="str">
        <f t="array" ref="G489">IFERROR(INDEX(角色MOD表[],MATCH(1,(角色MOD表[名称]=A489)*(角色MOD表[品质]=E489)*IF(D489="",1,(角色MOD表[属性]="")+ISNUMBER(FIND(D489,角色MOD表[属性]))),0),2),INDEX(武器MOD表[],MATCH(1,(武器MOD表[名称]=A489)*(武器MOD表[品质]=E489)*((武器MOD表[类型]=C489)+(武器MOD表[限定]=C489)),0),2))</f>
        <v>异化冥犬</v>
      </c>
    </row>
    <row r="490" spans="1:7">
      <c r="A490" t="s">
        <v>717</v>
      </c>
      <c r="B490" s="50" t="s">
        <v>1301</v>
      </c>
      <c r="C490" t="s">
        <v>732</v>
      </c>
      <c r="E490" s="9" t="s">
        <v>78</v>
      </c>
      <c r="F490" s="4">
        <f>SUM(_xlfn.MAP(_xlfn.SEQUENCE(4),_xlfn.LAMBDA(_xlpm.i,POWER(36,4-_xlpm.i)*_xlfn.MAP(MID(代码表[[#This Row],[代码]],_xlpm.i,1),_xlfn.LAMBDA(_xlpm.a,IF(CODE(_xlpm.a)&gt;64,CODE(_xlpm.a)-55,CODE(_xlpm.a)-48))))))</f>
        <v>54006</v>
      </c>
      <c r="G490" s="10" t="str">
        <f t="array" ref="G490">IFERROR(INDEX(角色MOD表[],MATCH(1,(角色MOD表[名称]=A490)*(角色MOD表[品质]=E490)*IF(D490="",1,(角色MOD表[属性]="")+ISNUMBER(FIND(D490,角色MOD表[属性]))),0),2),INDEX(武器MOD表[],MATCH(1,(武器MOD表[名称]=A490)*(武器MOD表[品质]=E490)*((武器MOD表[类型]=C490)+(武器MOD表[限定]=C490)),0),2))</f>
        <v>异化冥犬</v>
      </c>
    </row>
    <row r="491" spans="1:7">
      <c r="A491" t="s">
        <v>155</v>
      </c>
      <c r="B491" s="50" t="s">
        <v>1302</v>
      </c>
      <c r="C491" t="s">
        <v>732</v>
      </c>
      <c r="E491" s="9" t="s">
        <v>78</v>
      </c>
      <c r="F491" s="4">
        <f>SUM(_xlfn.MAP(_xlfn.SEQUENCE(4),_xlfn.LAMBDA(_xlpm.i,POWER(36,4-_xlpm.i)*_xlfn.MAP(MID(代码表[[#This Row],[代码]],_xlpm.i,1),_xlfn.LAMBDA(_xlpm.a,IF(CODE(_xlpm.a)&gt;64,CODE(_xlpm.a)-55,CODE(_xlpm.a)-48))))))</f>
        <v>54101</v>
      </c>
      <c r="G491" s="10" t="str">
        <f t="array" ref="G491">IFERROR(INDEX(角色MOD表[],MATCH(1,(角色MOD表[名称]=A491)*(角色MOD表[品质]=E491)*IF(D491="",1,(角色MOD表[属性]="")+ISNUMBER(FIND(D491,角色MOD表[属性]))),0),2),INDEX(武器MOD表[],MATCH(1,(武器MOD表[名称]=A491)*(武器MOD表[品质]=E491)*((武器MOD表[类型]=C491)+(武器MOD表[限定]=C491)),0),2))</f>
        <v>异化冥犬</v>
      </c>
    </row>
    <row r="492" spans="1:7">
      <c r="A492" s="9" t="s">
        <v>720</v>
      </c>
      <c r="B492" s="50" t="s">
        <v>1303</v>
      </c>
      <c r="C492" t="s">
        <v>732</v>
      </c>
      <c r="E492" s="9" t="s">
        <v>78</v>
      </c>
      <c r="F492" s="4">
        <f>SUM(_xlfn.MAP(_xlfn.SEQUENCE(4),_xlfn.LAMBDA(_xlpm.i,POWER(36,4-_xlpm.i)*_xlfn.MAP(MID(代码表[[#This Row],[代码]],_xlpm.i,1),_xlfn.LAMBDA(_xlpm.a,IF(CODE(_xlpm.a)&gt;64,CODE(_xlpm.a)-55,CODE(_xlpm.a)-48))))))</f>
        <v>54102</v>
      </c>
      <c r="G492" s="10" t="str">
        <f t="array" ref="G492">IFERROR(INDEX(角色MOD表[],MATCH(1,(角色MOD表[名称]=A492)*(角色MOD表[品质]=E492)*IF(D492="",1,(角色MOD表[属性]="")+ISNUMBER(FIND(D492,角色MOD表[属性]))),0),2),INDEX(武器MOD表[],MATCH(1,(武器MOD表[名称]=A492)*(武器MOD表[品质]=E492)*((武器MOD表[类型]=C492)+(武器MOD表[限定]=C492)),0),2))</f>
        <v>异化冥犬</v>
      </c>
    </row>
    <row r="493" spans="1:7">
      <c r="A493" s="9" t="s">
        <v>722</v>
      </c>
      <c r="B493" s="50" t="s">
        <v>1304</v>
      </c>
      <c r="C493" t="s">
        <v>732</v>
      </c>
      <c r="E493" s="9" t="s">
        <v>78</v>
      </c>
      <c r="F493" s="4">
        <f>SUM(_xlfn.MAP(_xlfn.SEQUENCE(4),_xlfn.LAMBDA(_xlpm.i,POWER(36,4-_xlpm.i)*_xlfn.MAP(MID(代码表[[#This Row],[代码]],_xlpm.i,1),_xlfn.LAMBDA(_xlpm.a,IF(CODE(_xlpm.a)&gt;64,CODE(_xlpm.a)-55,CODE(_xlpm.a)-48))))))</f>
        <v>54103</v>
      </c>
      <c r="G493" s="10" t="str">
        <f t="array" ref="G493">IFERROR(INDEX(角色MOD表[],MATCH(1,(角色MOD表[名称]=A493)*(角色MOD表[品质]=E493)*IF(D493="",1,(角色MOD表[属性]="")+ISNUMBER(FIND(D493,角色MOD表[属性]))),0),2),INDEX(武器MOD表[],MATCH(1,(武器MOD表[名称]=A493)*(武器MOD表[品质]=E493)*((武器MOD表[类型]=C493)+(武器MOD表[限定]=C493)),0),2))</f>
        <v>异化冥犬</v>
      </c>
    </row>
    <row r="494" spans="1:7">
      <c r="A494" t="s">
        <v>713</v>
      </c>
      <c r="B494" s="50" t="s">
        <v>1305</v>
      </c>
      <c r="C494" t="s">
        <v>738</v>
      </c>
      <c r="E494" s="9" t="s">
        <v>78</v>
      </c>
      <c r="F494" s="4">
        <f>SUM(_xlfn.MAP(_xlfn.SEQUENCE(4),_xlfn.LAMBDA(_xlpm.i,POWER(36,4-_xlpm.i)*_xlfn.MAP(MID(代码表[[#This Row],[代码]],_xlpm.i,1),_xlfn.LAMBDA(_xlpm.a,IF(CODE(_xlpm.a)&gt;64,CODE(_xlpm.a)-55,CODE(_xlpm.a)-48))))))</f>
        <v>55001</v>
      </c>
      <c r="G494" s="10" t="str">
        <f t="array" ref="G494">IFERROR(INDEX(角色MOD表[],MATCH(1,(角色MOD表[名称]=A494)*(角色MOD表[品质]=E494)*IF(D494="",1,(角色MOD表[属性]="")+ISNUMBER(FIND(D494,角色MOD表[属性]))),0),2),INDEX(武器MOD表[],MATCH(1,(武器MOD表[名称]=A494)*(武器MOD表[品质]=E494)*((武器MOD表[类型]=C494)+(武器MOD表[限定]=C494)),0),2))</f>
        <v>异化夜魔</v>
      </c>
    </row>
    <row r="495" spans="1:7">
      <c r="A495" t="s">
        <v>177</v>
      </c>
      <c r="B495" s="50" t="s">
        <v>1306</v>
      </c>
      <c r="C495" t="s">
        <v>738</v>
      </c>
      <c r="E495" s="9" t="s">
        <v>78</v>
      </c>
      <c r="F495" s="4">
        <f>SUM(_xlfn.MAP(_xlfn.SEQUENCE(4),_xlfn.LAMBDA(_xlpm.i,POWER(36,4-_xlpm.i)*_xlfn.MAP(MID(代码表[[#This Row],[代码]],_xlpm.i,1),_xlfn.LAMBDA(_xlpm.a,IF(CODE(_xlpm.a)&gt;64,CODE(_xlpm.a)-55,CODE(_xlpm.a)-48))))))</f>
        <v>55002</v>
      </c>
      <c r="G495" s="10" t="str">
        <f t="array" ref="G495">IFERROR(INDEX(角色MOD表[],MATCH(1,(角色MOD表[名称]=A495)*(角色MOD表[品质]=E495)*IF(D495="",1,(角色MOD表[属性]="")+ISNUMBER(FIND(D495,角色MOD表[属性]))),0),2),INDEX(武器MOD表[],MATCH(1,(武器MOD表[名称]=A495)*(武器MOD表[品质]=E495)*((武器MOD表[类型]=C495)+(武器MOD表[限定]=C495)),0),2))</f>
        <v>异化夜魔</v>
      </c>
    </row>
    <row r="496" spans="1:7">
      <c r="A496" t="s">
        <v>154</v>
      </c>
      <c r="B496" s="50" t="s">
        <v>1307</v>
      </c>
      <c r="C496" t="s">
        <v>738</v>
      </c>
      <c r="E496" s="9" t="s">
        <v>78</v>
      </c>
      <c r="F496" s="4">
        <f>SUM(_xlfn.MAP(_xlfn.SEQUENCE(4),_xlfn.LAMBDA(_xlpm.i,POWER(36,4-_xlpm.i)*_xlfn.MAP(MID(代码表[[#This Row],[代码]],_xlpm.i,1),_xlfn.LAMBDA(_xlpm.a,IF(CODE(_xlpm.a)&gt;64,CODE(_xlpm.a)-55,CODE(_xlpm.a)-48))))))</f>
        <v>55003</v>
      </c>
      <c r="G496" s="10" t="str">
        <f t="array" ref="G496">IFERROR(INDEX(角色MOD表[],MATCH(1,(角色MOD表[名称]=A496)*(角色MOD表[品质]=E496)*IF(D496="",1,(角色MOD表[属性]="")+ISNUMBER(FIND(D496,角色MOD表[属性]))),0),2),INDEX(武器MOD表[],MATCH(1,(武器MOD表[名称]=A496)*(武器MOD表[品质]=E496)*((武器MOD表[类型]=C496)+(武器MOD表[限定]=C496)),0),2))</f>
        <v>异化夜魔</v>
      </c>
    </row>
    <row r="497" spans="1:7">
      <c r="A497" t="s">
        <v>153</v>
      </c>
      <c r="B497" s="50" t="s">
        <v>1308</v>
      </c>
      <c r="C497" t="s">
        <v>738</v>
      </c>
      <c r="E497" s="9" t="s">
        <v>78</v>
      </c>
      <c r="F497" s="4">
        <f>SUM(_xlfn.MAP(_xlfn.SEQUENCE(4),_xlfn.LAMBDA(_xlpm.i,POWER(36,4-_xlpm.i)*_xlfn.MAP(MID(代码表[[#This Row],[代码]],_xlpm.i,1),_xlfn.LAMBDA(_xlpm.a,IF(CODE(_xlpm.a)&gt;64,CODE(_xlpm.a)-55,CODE(_xlpm.a)-48))))))</f>
        <v>55004</v>
      </c>
      <c r="G497" s="10" t="str">
        <f t="array" ref="G497">IFERROR(INDEX(角色MOD表[],MATCH(1,(角色MOD表[名称]=A497)*(角色MOD表[品质]=E497)*IF(D497="",1,(角色MOD表[属性]="")+ISNUMBER(FIND(D497,角色MOD表[属性]))),0),2),INDEX(武器MOD表[],MATCH(1,(武器MOD表[名称]=A497)*(武器MOD表[品质]=E497)*((武器MOD表[类型]=C497)+(武器MOD表[限定]=C497)),0),2))</f>
        <v>异化夜魔</v>
      </c>
    </row>
    <row r="498" spans="1:7">
      <c r="A498" t="s">
        <v>173</v>
      </c>
      <c r="B498" s="50" t="s">
        <v>1309</v>
      </c>
      <c r="C498" t="s">
        <v>738</v>
      </c>
      <c r="E498" s="9" t="s">
        <v>78</v>
      </c>
      <c r="F498" s="4">
        <f>SUM(_xlfn.MAP(_xlfn.SEQUENCE(4),_xlfn.LAMBDA(_xlpm.i,POWER(36,4-_xlpm.i)*_xlfn.MAP(MID(代码表[[#This Row],[代码]],_xlpm.i,1),_xlfn.LAMBDA(_xlpm.a,IF(CODE(_xlpm.a)&gt;64,CODE(_xlpm.a)-55,CODE(_xlpm.a)-48))))))</f>
        <v>55005</v>
      </c>
      <c r="G498" s="10" t="str">
        <f t="array" ref="G498">IFERROR(INDEX(角色MOD表[],MATCH(1,(角色MOD表[名称]=A498)*(角色MOD表[品质]=E498)*IF(D498="",1,(角色MOD表[属性]="")+ISNUMBER(FIND(D498,角色MOD表[属性]))),0),2),INDEX(武器MOD表[],MATCH(1,(武器MOD表[名称]=A498)*(武器MOD表[品质]=E498)*((武器MOD表[类型]=C498)+(武器MOD表[限定]=C498)),0),2))</f>
        <v>异化夜魔</v>
      </c>
    </row>
    <row r="499" spans="1:7">
      <c r="A499" t="s">
        <v>717</v>
      </c>
      <c r="B499" s="50" t="s">
        <v>1310</v>
      </c>
      <c r="C499" t="s">
        <v>738</v>
      </c>
      <c r="E499" s="9" t="s">
        <v>78</v>
      </c>
      <c r="F499" s="4">
        <f>SUM(_xlfn.MAP(_xlfn.SEQUENCE(4),_xlfn.LAMBDA(_xlpm.i,POWER(36,4-_xlpm.i)*_xlfn.MAP(MID(代码表[[#This Row],[代码]],_xlpm.i,1),_xlfn.LAMBDA(_xlpm.a,IF(CODE(_xlpm.a)&gt;64,CODE(_xlpm.a)-55,CODE(_xlpm.a)-48))))))</f>
        <v>55006</v>
      </c>
      <c r="G499" s="10" t="str">
        <f t="array" ref="G499">IFERROR(INDEX(角色MOD表[],MATCH(1,(角色MOD表[名称]=A499)*(角色MOD表[品质]=E499)*IF(D499="",1,(角色MOD表[属性]="")+ISNUMBER(FIND(D499,角色MOD表[属性]))),0),2),INDEX(武器MOD表[],MATCH(1,(武器MOD表[名称]=A499)*(武器MOD表[品质]=E499)*((武器MOD表[类型]=C499)+(武器MOD表[限定]=C499)),0),2))</f>
        <v>异化夜魔</v>
      </c>
    </row>
    <row r="500" spans="1:7">
      <c r="A500" t="s">
        <v>155</v>
      </c>
      <c r="B500" s="51" t="s">
        <v>1311</v>
      </c>
      <c r="C500" t="s">
        <v>738</v>
      </c>
      <c r="E500" s="9" t="s">
        <v>78</v>
      </c>
      <c r="F500" s="4">
        <f>SUM(_xlfn.MAP(_xlfn.SEQUENCE(4),_xlfn.LAMBDA(_xlpm.i,POWER(36,4-_xlpm.i)*_xlfn.MAP(MID(代码表[[#This Row],[代码]],_xlpm.i,1),_xlfn.LAMBDA(_xlpm.a,IF(CODE(_xlpm.a)&gt;64,CODE(_xlpm.a)-55,CODE(_xlpm.a)-48))))))</f>
        <v>55101</v>
      </c>
      <c r="G500" s="10" t="str">
        <f t="array" ref="G500">IFERROR(INDEX(角色MOD表[],MATCH(1,(角色MOD表[名称]=A500)*(角色MOD表[品质]=E500)*IF(D500="",1,(角色MOD表[属性]="")+ISNUMBER(FIND(D500,角色MOD表[属性]))),0),2),INDEX(武器MOD表[],MATCH(1,(武器MOD表[名称]=A500)*(武器MOD表[品质]=E500)*((武器MOD表[类型]=C500)+(武器MOD表[限定]=C500)),0),2))</f>
        <v>异化夜魔</v>
      </c>
    </row>
    <row r="501" spans="1:7">
      <c r="A501" s="9" t="s">
        <v>720</v>
      </c>
      <c r="B501" s="50" t="s">
        <v>1312</v>
      </c>
      <c r="C501" t="s">
        <v>738</v>
      </c>
      <c r="E501" s="9" t="s">
        <v>78</v>
      </c>
      <c r="F501" s="4">
        <f>SUM(_xlfn.MAP(_xlfn.SEQUENCE(4),_xlfn.LAMBDA(_xlpm.i,POWER(36,4-_xlpm.i)*_xlfn.MAP(MID(代码表[[#This Row],[代码]],_xlpm.i,1),_xlfn.LAMBDA(_xlpm.a,IF(CODE(_xlpm.a)&gt;64,CODE(_xlpm.a)-55,CODE(_xlpm.a)-48))))))</f>
        <v>55102</v>
      </c>
      <c r="G501" s="10" t="str">
        <f t="array" ref="G501">IFERROR(INDEX(角色MOD表[],MATCH(1,(角色MOD表[名称]=A501)*(角色MOD表[品质]=E501)*IF(D501="",1,(角色MOD表[属性]="")+ISNUMBER(FIND(D501,角色MOD表[属性]))),0),2),INDEX(武器MOD表[],MATCH(1,(武器MOD表[名称]=A501)*(武器MOD表[品质]=E501)*((武器MOD表[类型]=C501)+(武器MOD表[限定]=C501)),0),2))</f>
        <v>异化夜魔</v>
      </c>
    </row>
    <row r="502" spans="1:7">
      <c r="A502" s="9" t="s">
        <v>722</v>
      </c>
      <c r="B502" s="51" t="s">
        <v>1313</v>
      </c>
      <c r="C502" t="s">
        <v>738</v>
      </c>
      <c r="E502" s="9" t="s">
        <v>78</v>
      </c>
      <c r="F502" s="4">
        <f>SUM(_xlfn.MAP(_xlfn.SEQUENCE(4),_xlfn.LAMBDA(_xlpm.i,POWER(36,4-_xlpm.i)*_xlfn.MAP(MID(代码表[[#This Row],[代码]],_xlpm.i,1),_xlfn.LAMBDA(_xlpm.a,IF(CODE(_xlpm.a)&gt;64,CODE(_xlpm.a)-55,CODE(_xlpm.a)-48))))))</f>
        <v>55103</v>
      </c>
      <c r="G502" s="10" t="str">
        <f t="array" ref="G502">IFERROR(INDEX(角色MOD表[],MATCH(1,(角色MOD表[名称]=A502)*(角色MOD表[品质]=E502)*IF(D502="",1,(角色MOD表[属性]="")+ISNUMBER(FIND(D502,角色MOD表[属性]))),0),2),INDEX(武器MOD表[],MATCH(1,(武器MOD表[名称]=A502)*(武器MOD表[品质]=E502)*((武器MOD表[类型]=C502)+(武器MOD表[限定]=C502)),0),2))</f>
        <v>异化夜魔</v>
      </c>
    </row>
    <row r="503" spans="1:7">
      <c r="A503" t="s">
        <v>1314</v>
      </c>
      <c r="B503" s="50" t="s">
        <v>1315</v>
      </c>
      <c r="C503" t="s">
        <v>140</v>
      </c>
      <c r="E503" t="s">
        <v>959</v>
      </c>
      <c r="F503" s="4">
        <f t="array" ref="F503">SUM(_xlfn.MAP(_xlfn.SEQUENCE(4),_xlfn.LAMBDA(_xlpm.i,POWER(36,4-_xlpm.i)*_xlfn.MAP(MID(代码表[[#This Row],[代码]],_xlpm.i,1),_xlfn.LAMBDA(_xlpm.a,IF(CODE(_xlpm.a)&gt;64,CODE(_xlpm.a)-55,CODE(_xlpm.a)-48))))))</f>
        <v>101001</v>
      </c>
      <c r="G503" s="10" t="str">
        <f t="array" ref="G503">IFERROR(INDEX(角色MOD表[],MATCH(1,(角色MOD表[名称]=A503)*(角色MOD表[品质]=E503)*IF(D503="",1,(角色MOD表[属性]="")+ISNUMBER(FIND(D503,角色MOD表[属性]))),0),2),INDEX(武器MOD表[],MATCH(1,(武器MOD表[名称]=A503)*(武器MOD表[品质]=E503)*((武器MOD表[类型]=C503)+(武器MOD表[限定]=C503)),0),2))</f>
        <v>囚狼</v>
      </c>
    </row>
    <row r="504" spans="1:7">
      <c r="A504" t="s">
        <v>1316</v>
      </c>
      <c r="B504" s="50" t="s">
        <v>1317</v>
      </c>
      <c r="C504" t="s">
        <v>140</v>
      </c>
      <c r="E504" t="s">
        <v>959</v>
      </c>
      <c r="F504" s="4">
        <f>SUM(_xlfn.MAP(_xlfn.SEQUENCE(4),_xlfn.LAMBDA(_xlpm.i,POWER(36,4-_xlpm.i)*_xlfn.MAP(MID(代码表[[#This Row],[代码]],_xlpm.i,1),_xlfn.LAMBDA(_xlpm.a,IF(CODE(_xlpm.a)&gt;64,CODE(_xlpm.a)-55,CODE(_xlpm.a)-48))))))</f>
        <v>101002</v>
      </c>
      <c r="G504" s="10" t="str">
        <f t="array" ref="G504">IFERROR(INDEX(角色MOD表[],MATCH(1,(角色MOD表[名称]=A504)*(角色MOD表[品质]=E504)*IF(D504="",1,(角色MOD表[属性]="")+ISNUMBER(FIND(D504,角色MOD表[属性]))),0),2),INDEX(武器MOD表[],MATCH(1,(武器MOD表[名称]=A504)*(武器MOD表[品质]=E504)*((武器MOD表[类型]=C504)+(武器MOD表[限定]=C504)),0),2))</f>
        <v>囚狼</v>
      </c>
    </row>
    <row r="505" spans="1:7">
      <c r="A505" t="s">
        <v>1318</v>
      </c>
      <c r="B505" s="50" t="s">
        <v>1319</v>
      </c>
      <c r="C505" t="s">
        <v>140</v>
      </c>
      <c r="E505" t="s">
        <v>959</v>
      </c>
      <c r="F505" s="4">
        <f t="array" ref="F505">SUM(_xlfn.MAP(_xlfn.SEQUENCE(4),_xlfn.LAMBDA(_xlpm.i,POWER(36,4-_xlpm.i)*_xlfn.MAP(MID(代码表[[#This Row],[代码]],_xlpm.i,1),_xlfn.LAMBDA(_xlpm.a,IF(CODE(_xlpm.a)&gt;64,CODE(_xlpm.a)-55,CODE(_xlpm.a)-48))))))</f>
        <v>102001</v>
      </c>
      <c r="G505" s="10" t="str">
        <f t="array" ref="G505">IFERROR(INDEX(角色MOD表[],MATCH(1,(角色MOD表[名称]=A505)*(角色MOD表[品质]=E505)*IF(D505="",1,(角色MOD表[属性]="")+ISNUMBER(FIND(D505,角色MOD表[属性]))),0),2),INDEX(武器MOD表[],MATCH(1,(武器MOD表[名称]=A505)*(武器MOD表[品质]=E505)*((武器MOD表[类型]=C505)+(武器MOD表[限定]=C505)),0),2))</f>
        <v>囚狼</v>
      </c>
    </row>
    <row r="506" spans="1:7">
      <c r="A506" t="s">
        <v>1320</v>
      </c>
      <c r="B506" s="50" t="s">
        <v>1321</v>
      </c>
      <c r="C506" t="s">
        <v>140</v>
      </c>
      <c r="E506" t="s">
        <v>959</v>
      </c>
      <c r="F506" s="4">
        <f t="array" ref="F506">SUM(_xlfn.MAP(_xlfn.SEQUENCE(4),_xlfn.LAMBDA(_xlpm.i,POWER(36,4-_xlpm.i)*_xlfn.MAP(MID(代码表[[#This Row],[代码]],_xlpm.i,1),_xlfn.LAMBDA(_xlpm.a,IF(CODE(_xlpm.a)&gt;64,CODE(_xlpm.a)-55,CODE(_xlpm.a)-48))))))</f>
        <v>102002</v>
      </c>
      <c r="G506" s="10" t="str">
        <f t="array" ref="G506">IFERROR(INDEX(角色MOD表[],MATCH(1,(角色MOD表[名称]=A506)*(角色MOD表[品质]=E506)*IF(D506="",1,(角色MOD表[属性]="")+ISNUMBER(FIND(D506,角色MOD表[属性]))),0),2),INDEX(武器MOD表[],MATCH(1,(武器MOD表[名称]=A506)*(武器MOD表[品质]=E506)*((武器MOD表[类型]=C506)+(武器MOD表[限定]=C506)),0),2))</f>
        <v>囚狼</v>
      </c>
    </row>
    <row r="507" spans="1:7">
      <c r="A507" t="s">
        <v>1322</v>
      </c>
      <c r="B507" s="50" t="s">
        <v>1323</v>
      </c>
      <c r="C507" t="s">
        <v>140</v>
      </c>
      <c r="E507" t="s">
        <v>959</v>
      </c>
      <c r="F507" s="4">
        <f t="array" ref="F507">SUM(_xlfn.MAP(_xlfn.SEQUENCE(4),_xlfn.LAMBDA(_xlpm.i,POWER(36,4-_xlpm.i)*_xlfn.MAP(MID(代码表[[#This Row],[代码]],_xlpm.i,1),_xlfn.LAMBDA(_xlpm.a,IF(CODE(_xlpm.a)&gt;64,CODE(_xlpm.a)-55,CODE(_xlpm.a)-48))))))</f>
        <v>102003</v>
      </c>
      <c r="G507" s="10" t="str">
        <f t="array" ref="G507">IFERROR(INDEX(角色MOD表[],MATCH(1,(角色MOD表[名称]=A507)*(角色MOD表[品质]=E507)*IF(D507="",1,(角色MOD表[属性]="")+ISNUMBER(FIND(D507,角色MOD表[属性]))),0),2),INDEX(武器MOD表[],MATCH(1,(武器MOD表[名称]=A507)*(武器MOD表[品质]=E507)*((武器MOD表[类型]=C507)+(武器MOD表[限定]=C507)),0),2))</f>
        <v>囚狼</v>
      </c>
    </row>
    <row r="508" spans="1:7">
      <c r="A508" t="s">
        <v>1324</v>
      </c>
      <c r="B508" s="50" t="s">
        <v>1325</v>
      </c>
      <c r="C508" t="s">
        <v>140</v>
      </c>
      <c r="E508" t="s">
        <v>959</v>
      </c>
      <c r="F508" s="4">
        <f t="array" ref="F508">SUM(_xlfn.MAP(_xlfn.SEQUENCE(4),_xlfn.LAMBDA(_xlpm.i,POWER(36,4-_xlpm.i)*_xlfn.MAP(MID(代码表[[#This Row],[代码]],_xlpm.i,1),_xlfn.LAMBDA(_xlpm.a,IF(CODE(_xlpm.a)&gt;64,CODE(_xlpm.a)-55,CODE(_xlpm.a)-48))))))</f>
        <v>102004</v>
      </c>
      <c r="G508" s="10" t="str">
        <f t="array" ref="G508">IFERROR(INDEX(角色MOD表[],MATCH(1,(角色MOD表[名称]=A508)*(角色MOD表[品质]=E508)*IF(D508="",1,(角色MOD表[属性]="")+ISNUMBER(FIND(D508,角色MOD表[属性]))),0),2),INDEX(武器MOD表[],MATCH(1,(武器MOD表[名称]=A508)*(武器MOD表[品质]=E508)*((武器MOD表[类型]=C508)+(武器MOD表[限定]=C508)),0),2))</f>
        <v>囚狼</v>
      </c>
    </row>
    <row r="509" spans="1:7">
      <c r="A509" t="s">
        <v>1326</v>
      </c>
      <c r="B509" s="50" t="s">
        <v>1327</v>
      </c>
      <c r="C509" t="s">
        <v>140</v>
      </c>
      <c r="E509" t="s">
        <v>959</v>
      </c>
      <c r="F509" s="4">
        <f t="array" ref="F509">SUM(_xlfn.MAP(_xlfn.SEQUENCE(4),_xlfn.LAMBDA(_xlpm.i,POWER(36,4-_xlpm.i)*_xlfn.MAP(MID(代码表[[#This Row],[代码]],_xlpm.i,1),_xlfn.LAMBDA(_xlpm.a,IF(CODE(_xlpm.a)&gt;64,CODE(_xlpm.a)-55,CODE(_xlpm.a)-48))))))</f>
        <v>103001</v>
      </c>
      <c r="G509" s="10" t="str">
        <f t="array" ref="G509">IFERROR(INDEX(角色MOD表[],MATCH(1,(角色MOD表[名称]=A509)*(角色MOD表[品质]=E509)*IF(D509="",1,(角色MOD表[属性]="")+ISNUMBER(FIND(D509,角色MOD表[属性]))),0),2),INDEX(武器MOD表[],MATCH(1,(武器MOD表[名称]=A509)*(武器MOD表[品质]=E509)*((武器MOD表[类型]=C509)+(武器MOD表[限定]=C509)),0),2))</f>
        <v>囚狼</v>
      </c>
    </row>
    <row r="510" spans="1:7">
      <c r="A510" t="s">
        <v>1328</v>
      </c>
      <c r="B510" s="51" t="s">
        <v>1329</v>
      </c>
      <c r="C510" t="s">
        <v>140</v>
      </c>
      <c r="E510" t="s">
        <v>959</v>
      </c>
      <c r="F510" s="4">
        <f>SUM(_xlfn.MAP(_xlfn.SEQUENCE(4),_xlfn.LAMBDA(_xlpm.i,POWER(36,4-_xlpm.i)*_xlfn.MAP(MID(代码表[[#This Row],[代码]],_xlpm.i,1),_xlfn.LAMBDA(_xlpm.a,IF(CODE(_xlpm.a)&gt;64,CODE(_xlpm.a)-55,CODE(_xlpm.a)-48))))))</f>
        <v>103002</v>
      </c>
      <c r="G510" s="10" t="str">
        <f t="array" ref="G510">IFERROR(INDEX(角色MOD表[],MATCH(1,(角色MOD表[名称]=A510)*(角色MOD表[品质]=E510)*IF(D510="",1,(角色MOD表[属性]="")+ISNUMBER(FIND(D510,角色MOD表[属性]))),0),2),INDEX(武器MOD表[],MATCH(1,(武器MOD表[名称]=A510)*(武器MOD表[品质]=E510)*((武器MOD表[类型]=C510)+(武器MOD表[限定]=C510)),0),2))</f>
        <v>囚狼</v>
      </c>
    </row>
    <row r="511" spans="1:7">
      <c r="A511" t="s">
        <v>1330</v>
      </c>
      <c r="B511" s="51" t="s">
        <v>1331</v>
      </c>
      <c r="C511" t="s">
        <v>140</v>
      </c>
      <c r="E511" t="s">
        <v>959</v>
      </c>
      <c r="F511" s="4">
        <f>SUM(_xlfn.MAP(_xlfn.SEQUENCE(4),_xlfn.LAMBDA(_xlpm.i,POWER(36,4-_xlpm.i)*_xlfn.MAP(MID(代码表[[#This Row],[代码]],_xlpm.i,1),_xlfn.LAMBDA(_xlpm.a,IF(CODE(_xlpm.a)&gt;64,CODE(_xlpm.a)-55,CODE(_xlpm.a)-48))))))</f>
        <v>104001</v>
      </c>
      <c r="G511" s="10" t="str">
        <f t="array" ref="G511">IFERROR(INDEX(角色MOD表[],MATCH(1,(角色MOD表[名称]=A511)*(角色MOD表[品质]=E511)*IF(D511="",1,(角色MOD表[属性]="")+ISNUMBER(FIND(D511,角色MOD表[属性]))),0),2),INDEX(武器MOD表[],MATCH(1,(武器MOD表[名称]=A511)*(武器MOD表[品质]=E511)*((武器MOD表[类型]=C511)+(武器MOD表[限定]=C511)),0),2))</f>
        <v>囚狼</v>
      </c>
    </row>
    <row r="512" spans="1:7">
      <c r="A512" t="s">
        <v>1332</v>
      </c>
      <c r="B512" s="50" t="s">
        <v>1333</v>
      </c>
      <c r="C512" t="s">
        <v>140</v>
      </c>
      <c r="E512" t="s">
        <v>959</v>
      </c>
      <c r="F512" s="4">
        <f t="array" ref="F512">SUM(_xlfn.MAP(_xlfn.SEQUENCE(4),_xlfn.LAMBDA(_xlpm.i,POWER(36,4-_xlpm.i)*_xlfn.MAP(MID(代码表[[#This Row],[代码]],_xlpm.i,1),_xlfn.LAMBDA(_xlpm.a,IF(CODE(_xlpm.a)&gt;64,CODE(_xlpm.a)-55,CODE(_xlpm.a)-48))))))</f>
        <v>104002</v>
      </c>
      <c r="G512" s="10" t="str">
        <f t="array" ref="G512">IFERROR(INDEX(角色MOD表[],MATCH(1,(角色MOD表[名称]=A512)*(角色MOD表[品质]=E512)*IF(D512="",1,(角色MOD表[属性]="")+ISNUMBER(FIND(D512,角色MOD表[属性]))),0),2),INDEX(武器MOD表[],MATCH(1,(武器MOD表[名称]=A512)*(武器MOD表[品质]=E512)*((武器MOD表[类型]=C512)+(武器MOD表[限定]=C512)),0),2))</f>
        <v>囚狼</v>
      </c>
    </row>
    <row r="513" spans="1:7">
      <c r="A513" t="s">
        <v>1334</v>
      </c>
      <c r="B513" s="50" t="s">
        <v>1335</v>
      </c>
      <c r="C513" t="s">
        <v>140</v>
      </c>
      <c r="E513" t="s">
        <v>959</v>
      </c>
      <c r="F513" s="4">
        <f t="array" ref="F513">SUM(_xlfn.MAP(_xlfn.SEQUENCE(4),_xlfn.LAMBDA(_xlpm.i,POWER(36,4-_xlpm.i)*_xlfn.MAP(MID(代码表[[#This Row],[代码]],_xlpm.i,1),_xlfn.LAMBDA(_xlpm.a,IF(CODE(_xlpm.a)&gt;64,CODE(_xlpm.a)-55,CODE(_xlpm.a)-48))))))</f>
        <v>106001</v>
      </c>
      <c r="G513" s="10" t="str">
        <f t="array" ref="G513">IFERROR(INDEX(角色MOD表[],MATCH(1,(角色MOD表[名称]=A513)*(角色MOD表[品质]=E513)*IF(D513="",1,(角色MOD表[属性]="")+ISNUMBER(FIND(D513,角色MOD表[属性]))),0),2),INDEX(武器MOD表[],MATCH(1,(武器MOD表[名称]=A513)*(武器MOD表[品质]=E513)*((武器MOD表[类型]=C513)+(武器MOD表[限定]=C513)),0),2))</f>
        <v>囚狼</v>
      </c>
    </row>
    <row r="514" spans="1:7">
      <c r="A514" t="s">
        <v>256</v>
      </c>
      <c r="B514" s="50"/>
      <c r="F514" s="4" t="e">
        <f t="array" ref="F514">SUM(_xlfn.MAP(_xlfn.SEQUENCE(4),_xlfn.LAMBDA(_xlpm.i,POWER(36,4-_xlpm.i)*_xlfn.MAP(MID(代码表[[#This Row],[代码]],_xlpm.i,1),_xlfn.LAMBDA(_xlpm.a,IF(CODE(_xlpm.a)&gt;64,CODE(_xlpm.a)-55,CODE(_xlpm.a)-48))))))</f>
        <v>#VALUE!</v>
      </c>
      <c r="G514" s="10" t="e">
        <f t="array" ref="G514">IFERROR(INDEX(角色MOD表[],MATCH(1,(角色MOD表[名称]=A514)*(角色MOD表[品质]=E514)*IF(D514="",1,(角色MOD表[属性]="")+ISNUMBER(FIND(D514,角色MOD表[属性]))),0),2),INDEX(武器MOD表[],MATCH(1,(武器MOD表[名称]=A514)*(武器MOD表[品质]=E514)*((武器MOD表[类型]=C514)+(武器MOD表[限定]=C514)),0),2))</f>
        <v>#N/A</v>
      </c>
    </row>
    <row r="515" spans="1:7">
      <c r="A515" t="s">
        <v>257</v>
      </c>
      <c r="B515" s="50"/>
      <c r="F515" s="4" t="e">
        <f t="array" ref="F515">SUM(_xlfn.MAP(_xlfn.SEQUENCE(4),_xlfn.LAMBDA(_xlpm.i,POWER(36,4-_xlpm.i)*_xlfn.MAP(MID(代码表[[#This Row],[代码]],_xlpm.i,1),_xlfn.LAMBDA(_xlpm.a,IF(CODE(_xlpm.a)&gt;64,CODE(_xlpm.a)-55,CODE(_xlpm.a)-48))))))</f>
        <v>#VALUE!</v>
      </c>
      <c r="G515" s="10" t="e">
        <f t="array" ref="G515">IFERROR(INDEX(角色MOD表[],MATCH(1,(角色MOD表[名称]=A515)*(角色MOD表[品质]=E515)*IF(D515="",1,(角色MOD表[属性]="")+ISNUMBER(FIND(D515,角色MOD表[属性]))),0),2),INDEX(武器MOD表[],MATCH(1,(武器MOD表[名称]=A515)*(武器MOD表[品质]=E515)*((武器MOD表[类型]=C515)+(武器MOD表[限定]=C515)),0),2))</f>
        <v>#N/A</v>
      </c>
    </row>
    <row r="516" spans="1:7">
      <c r="A516" t="s">
        <v>273</v>
      </c>
      <c r="B516" s="50"/>
      <c r="F516" s="4" t="e">
        <f t="array" ref="F516">SUM(_xlfn.MAP(_xlfn.SEQUENCE(4),_xlfn.LAMBDA(_xlpm.i,POWER(36,4-_xlpm.i)*_xlfn.MAP(MID(代码表[[#This Row],[代码]],_xlpm.i,1),_xlfn.LAMBDA(_xlpm.a,IF(CODE(_xlpm.a)&gt;64,CODE(_xlpm.a)-55,CODE(_xlpm.a)-48))))))</f>
        <v>#VALUE!</v>
      </c>
      <c r="G516" s="10" t="e">
        <f t="array" ref="G516">IFERROR(INDEX(角色MOD表[],MATCH(1,(角色MOD表[名称]=A516)*(角色MOD表[品质]=E516)*IF(D516="",1,(角色MOD表[属性]="")+ISNUMBER(FIND(D516,角色MOD表[属性]))),0),2),INDEX(武器MOD表[],MATCH(1,(武器MOD表[名称]=A516)*(武器MOD表[品质]=E516)*((武器MOD表[类型]=C516)+(武器MOD表[限定]=C516)),0),2))</f>
        <v>#N/A</v>
      </c>
    </row>
    <row r="517" spans="1:7">
      <c r="A517" t="s">
        <v>274</v>
      </c>
      <c r="B517" s="50"/>
      <c r="F517" s="4" t="e">
        <f t="array" ref="F517">SUM(_xlfn.MAP(_xlfn.SEQUENCE(4),_xlfn.LAMBDA(_xlpm.i,POWER(36,4-_xlpm.i)*_xlfn.MAP(MID(代码表[[#This Row],[代码]],_xlpm.i,1),_xlfn.LAMBDA(_xlpm.a,IF(CODE(_xlpm.a)&gt;64,CODE(_xlpm.a)-55,CODE(_xlpm.a)-48))))))</f>
        <v>#VALUE!</v>
      </c>
      <c r="G517" s="10" t="e">
        <f t="array" ref="G517">IFERROR(INDEX(角色MOD表[],MATCH(1,(角色MOD表[名称]=A517)*(角色MOD表[品质]=E517)*IF(D517="",1,(角色MOD表[属性]="")+ISNUMBER(FIND(D517,角色MOD表[属性]))),0),2),INDEX(武器MOD表[],MATCH(1,(武器MOD表[名称]=A517)*(武器MOD表[品质]=E517)*((武器MOD表[类型]=C517)+(武器MOD表[限定]=C517)),0),2))</f>
        <v>#N/A</v>
      </c>
    </row>
    <row r="518" spans="1:7">
      <c r="A518" t="s">
        <v>275</v>
      </c>
      <c r="B518" s="50"/>
      <c r="F518" s="4" t="e">
        <f t="array" ref="F518">SUM(_xlfn.MAP(_xlfn.SEQUENCE(4),_xlfn.LAMBDA(_xlpm.i,POWER(36,4-_xlpm.i)*_xlfn.MAP(MID(代码表[[#This Row],[代码]],_xlpm.i,1),_xlfn.LAMBDA(_xlpm.a,IF(CODE(_xlpm.a)&gt;64,CODE(_xlpm.a)-55,CODE(_xlpm.a)-48))))))</f>
        <v>#VALUE!</v>
      </c>
      <c r="G518" s="10" t="e">
        <f t="array" ref="G518">IFERROR(INDEX(角色MOD表[],MATCH(1,(角色MOD表[名称]=A518)*(角色MOD表[品质]=E518)*IF(D518="",1,(角色MOD表[属性]="")+ISNUMBER(FIND(D518,角色MOD表[属性]))),0),2),INDEX(武器MOD表[],MATCH(1,(武器MOD表[名称]=A518)*(武器MOD表[品质]=E518)*((武器MOD表[类型]=C518)+(武器MOD表[限定]=C518)),0),2))</f>
        <v>#N/A</v>
      </c>
    </row>
    <row r="519" spans="1:7">
      <c r="A519" t="s">
        <v>1336</v>
      </c>
      <c r="B519" s="50"/>
      <c r="F519" s="4" t="e">
        <f t="array" ref="F519">SUM(_xlfn.MAP(_xlfn.SEQUENCE(4),_xlfn.LAMBDA(_xlpm.i,POWER(36,4-_xlpm.i)*_xlfn.MAP(MID(代码表[[#This Row],[代码]],_xlpm.i,1),_xlfn.LAMBDA(_xlpm.a,IF(CODE(_xlpm.a)&gt;64,CODE(_xlpm.a)-55,CODE(_xlpm.a)-48))))))</f>
        <v>#VALUE!</v>
      </c>
      <c r="G519" s="10" t="e">
        <f t="array" ref="G519">IFERROR(INDEX(角色MOD表[],MATCH(1,(角色MOD表[名称]=A519)*(角色MOD表[品质]=E519)*IF(D519="",1,(角色MOD表[属性]="")+ISNUMBER(FIND(D519,角色MOD表[属性]))),0),2),INDEX(武器MOD表[],MATCH(1,(武器MOD表[名称]=A519)*(武器MOD表[品质]=E519)*((武器MOD表[类型]=C519)+(武器MOD表[限定]=C519)),0),2))</f>
        <v>#N/A</v>
      </c>
    </row>
    <row r="520" spans="1:7">
      <c r="A520" t="s">
        <v>1337</v>
      </c>
      <c r="B520" s="50"/>
      <c r="F520" s="4" t="e">
        <f t="array" ref="F520">SUM(_xlfn.MAP(_xlfn.SEQUENCE(4),_xlfn.LAMBDA(_xlpm.i,POWER(36,4-_xlpm.i)*_xlfn.MAP(MID(代码表[[#This Row],[代码]],_xlpm.i,1),_xlfn.LAMBDA(_xlpm.a,IF(CODE(_xlpm.a)&gt;64,CODE(_xlpm.a)-55,CODE(_xlpm.a)-48))))))</f>
        <v>#VALUE!</v>
      </c>
      <c r="G520" s="10" t="e">
        <f t="array" ref="G520">IFERROR(INDEX(角色MOD表[],MATCH(1,(角色MOD表[名称]=A520)*(角色MOD表[品质]=E520)*IF(D520="",1,(角色MOD表[属性]="")+ISNUMBER(FIND(D520,角色MOD表[属性]))),0),2),INDEX(武器MOD表[],MATCH(1,(武器MOD表[名称]=A520)*(武器MOD表[品质]=E520)*((武器MOD表[类型]=C520)+(武器MOD表[限定]=C520)),0),2))</f>
        <v>#N/A</v>
      </c>
    </row>
    <row r="521" spans="1:7">
      <c r="A521" t="s">
        <v>1338</v>
      </c>
      <c r="B521" s="50"/>
      <c r="F521" s="4" t="e">
        <f t="array" ref="F521">SUM(_xlfn.MAP(_xlfn.SEQUENCE(4),_xlfn.LAMBDA(_xlpm.i,POWER(36,4-_xlpm.i)*_xlfn.MAP(MID(代码表[[#This Row],[代码]],_xlpm.i,1),_xlfn.LAMBDA(_xlpm.a,IF(CODE(_xlpm.a)&gt;64,CODE(_xlpm.a)-55,CODE(_xlpm.a)-48))))))</f>
        <v>#VALUE!</v>
      </c>
      <c r="G521" s="10" t="e">
        <f t="array" ref="G521">IFERROR(INDEX(角色MOD表[],MATCH(1,(角色MOD表[名称]=A521)*(角色MOD表[品质]=E521)*IF(D521="",1,(角色MOD表[属性]="")+ISNUMBER(FIND(D521,角色MOD表[属性]))),0),2),INDEX(武器MOD表[],MATCH(1,(武器MOD表[名称]=A521)*(武器MOD表[品质]=E521)*((武器MOD表[类型]=C521)+(武器MOD表[限定]=C521)),0),2))</f>
        <v>#N/A</v>
      </c>
    </row>
    <row r="522" spans="1:7">
      <c r="A522" t="s">
        <v>1339</v>
      </c>
      <c r="B522" s="50"/>
      <c r="F522" s="4" t="e">
        <f t="array" ref="F522">SUM(_xlfn.MAP(_xlfn.SEQUENCE(4),_xlfn.LAMBDA(_xlpm.i,POWER(36,4-_xlpm.i)*_xlfn.MAP(MID(代码表[[#This Row],[代码]],_xlpm.i,1),_xlfn.LAMBDA(_xlpm.a,IF(CODE(_xlpm.a)&gt;64,CODE(_xlpm.a)-55,CODE(_xlpm.a)-48))))))</f>
        <v>#VALUE!</v>
      </c>
      <c r="G522" s="10" t="e">
        <f t="array" ref="G522">IFERROR(INDEX(角色MOD表[],MATCH(1,(角色MOD表[名称]=A522)*(角色MOD表[品质]=E522)*IF(D522="",1,(角色MOD表[属性]="")+ISNUMBER(FIND(D522,角色MOD表[属性]))),0),2),INDEX(武器MOD表[],MATCH(1,(武器MOD表[名称]=A522)*(武器MOD表[品质]=E522)*((武器MOD表[类型]=C522)+(武器MOD表[限定]=C522)),0),2))</f>
        <v>#N/A</v>
      </c>
    </row>
    <row r="523" spans="1:7">
      <c r="A523" t="s">
        <v>1340</v>
      </c>
      <c r="B523" s="50"/>
      <c r="F523" s="4" t="e">
        <f t="array" ref="F523">SUM(_xlfn.MAP(_xlfn.SEQUENCE(4),_xlfn.LAMBDA(_xlpm.i,POWER(36,4-_xlpm.i)*_xlfn.MAP(MID(代码表[[#This Row],[代码]],_xlpm.i,1),_xlfn.LAMBDA(_xlpm.a,IF(CODE(_xlpm.a)&gt;64,CODE(_xlpm.a)-55,CODE(_xlpm.a)-48))))))</f>
        <v>#VALUE!</v>
      </c>
      <c r="G523" s="10" t="e">
        <f t="array" ref="G523">IFERROR(INDEX(角色MOD表[],MATCH(1,(角色MOD表[名称]=A523)*(角色MOD表[品质]=E523)*IF(D523="",1,(角色MOD表[属性]="")+ISNUMBER(FIND(D523,角色MOD表[属性]))),0),2),INDEX(武器MOD表[],MATCH(1,(武器MOD表[名称]=A523)*(武器MOD表[品质]=E523)*((武器MOD表[类型]=C523)+(武器MOD表[限定]=C523)),0),2))</f>
        <v>#N/A</v>
      </c>
    </row>
    <row r="524" spans="1:7">
      <c r="A524" t="s">
        <v>1341</v>
      </c>
      <c r="B524" s="50"/>
      <c r="F524" s="4" t="e">
        <f t="array" ref="F524">SUM(_xlfn.MAP(_xlfn.SEQUENCE(4),_xlfn.LAMBDA(_xlpm.i,POWER(36,4-_xlpm.i)*_xlfn.MAP(MID(代码表[[#This Row],[代码]],_xlpm.i,1),_xlfn.LAMBDA(_xlpm.a,IF(CODE(_xlpm.a)&gt;64,CODE(_xlpm.a)-55,CODE(_xlpm.a)-48))))))</f>
        <v>#VALUE!</v>
      </c>
      <c r="G524" s="10" t="e">
        <f t="array" ref="G524">IFERROR(INDEX(角色MOD表[],MATCH(1,(角色MOD表[名称]=A524)*(角色MOD表[品质]=E524)*IF(D524="",1,(角色MOD表[属性]="")+ISNUMBER(FIND(D524,角色MOD表[属性]))),0),2),INDEX(武器MOD表[],MATCH(1,(武器MOD表[名称]=A524)*(武器MOD表[品质]=E524)*((武器MOD表[类型]=C524)+(武器MOD表[限定]=C524)),0),2))</f>
        <v>#N/A</v>
      </c>
    </row>
    <row r="525" spans="1:7">
      <c r="A525" t="s">
        <v>1342</v>
      </c>
      <c r="B525" s="50"/>
      <c r="F525" s="4" t="e">
        <f t="array" ref="F525">SUM(_xlfn.MAP(_xlfn.SEQUENCE(4),_xlfn.LAMBDA(_xlpm.i,POWER(36,4-_xlpm.i)*_xlfn.MAP(MID(代码表[[#This Row],[代码]],_xlpm.i,1),_xlfn.LAMBDA(_xlpm.a,IF(CODE(_xlpm.a)&gt;64,CODE(_xlpm.a)-55,CODE(_xlpm.a)-48))))))</f>
        <v>#VALUE!</v>
      </c>
      <c r="G525" s="10" t="e">
        <f t="array" ref="G525">IFERROR(INDEX(角色MOD表[],MATCH(1,(角色MOD表[名称]=A525)*(角色MOD表[品质]=E525)*IF(D525="",1,(角色MOD表[属性]="")+ISNUMBER(FIND(D525,角色MOD表[属性]))),0),2),INDEX(武器MOD表[],MATCH(1,(武器MOD表[名称]=A525)*(武器MOD表[品质]=E525)*((武器MOD表[类型]=C525)+(武器MOD表[限定]=C525)),0),2))</f>
        <v>#N/A</v>
      </c>
    </row>
    <row r="526" spans="1:7">
      <c r="A526" t="s">
        <v>1343</v>
      </c>
      <c r="B526" s="50"/>
      <c r="F526" s="4" t="e">
        <f t="array" ref="F526">SUM(_xlfn.MAP(_xlfn.SEQUENCE(4),_xlfn.LAMBDA(_xlpm.i,POWER(36,4-_xlpm.i)*_xlfn.MAP(MID(代码表[[#This Row],[代码]],_xlpm.i,1),_xlfn.LAMBDA(_xlpm.a,IF(CODE(_xlpm.a)&gt;64,CODE(_xlpm.a)-55,CODE(_xlpm.a)-48))))))</f>
        <v>#VALUE!</v>
      </c>
      <c r="G526" s="10" t="e">
        <f t="array" ref="G526">IFERROR(INDEX(角色MOD表[],MATCH(1,(角色MOD表[名称]=A526)*(角色MOD表[品质]=E526)*IF(D526="",1,(角色MOD表[属性]="")+ISNUMBER(FIND(D526,角色MOD表[属性]))),0),2),INDEX(武器MOD表[],MATCH(1,(武器MOD表[名称]=A526)*(武器MOD表[品质]=E526)*((武器MOD表[类型]=C526)+(武器MOD表[限定]=C526)),0),2))</f>
        <v>#N/A</v>
      </c>
    </row>
    <row r="527" spans="1:7">
      <c r="A527" t="s">
        <v>1344</v>
      </c>
      <c r="B527" s="50"/>
      <c r="F527" s="4" t="e">
        <f t="array" ref="F527">SUM(_xlfn.MAP(_xlfn.SEQUENCE(4),_xlfn.LAMBDA(_xlpm.i,POWER(36,4-_xlpm.i)*_xlfn.MAP(MID(代码表[[#This Row],[代码]],_xlpm.i,1),_xlfn.LAMBDA(_xlpm.a,IF(CODE(_xlpm.a)&gt;64,CODE(_xlpm.a)-55,CODE(_xlpm.a)-48))))))</f>
        <v>#VALUE!</v>
      </c>
      <c r="G527" s="10" t="e">
        <f t="array" ref="G527">IFERROR(INDEX(角色MOD表[],MATCH(1,(角色MOD表[名称]=A527)*(角色MOD表[品质]=E527)*IF(D527="",1,(角色MOD表[属性]="")+ISNUMBER(FIND(D527,角色MOD表[属性]))),0),2),INDEX(武器MOD表[],MATCH(1,(武器MOD表[名称]=A527)*(武器MOD表[品质]=E527)*((武器MOD表[类型]=C527)+(武器MOD表[限定]=C527)),0),2))</f>
        <v>#N/A</v>
      </c>
    </row>
    <row r="528" spans="1:7">
      <c r="A528" t="s">
        <v>1345</v>
      </c>
      <c r="B528" s="50"/>
      <c r="F528" s="4" t="e">
        <f t="array" ref="F528">SUM(_xlfn.MAP(_xlfn.SEQUENCE(4),_xlfn.LAMBDA(_xlpm.i,POWER(36,4-_xlpm.i)*_xlfn.MAP(MID(代码表[[#This Row],[代码]],_xlpm.i,1),_xlfn.LAMBDA(_xlpm.a,IF(CODE(_xlpm.a)&gt;64,CODE(_xlpm.a)-55,CODE(_xlpm.a)-48))))))</f>
        <v>#VALUE!</v>
      </c>
      <c r="G528" s="10" t="e">
        <f t="array" ref="G528">IFERROR(INDEX(角色MOD表[],MATCH(1,(角色MOD表[名称]=A528)*(角色MOD表[品质]=E528)*IF(D528="",1,(角色MOD表[属性]="")+ISNUMBER(FIND(D528,角色MOD表[属性]))),0),2),INDEX(武器MOD表[],MATCH(1,(武器MOD表[名称]=A528)*(武器MOD表[品质]=E528)*((武器MOD表[类型]=C528)+(武器MOD表[限定]=C528)),0),2))</f>
        <v>#N/A</v>
      </c>
    </row>
    <row r="529" spans="1:7">
      <c r="A529" t="s">
        <v>1346</v>
      </c>
      <c r="B529" s="50"/>
      <c r="F529" s="4" t="e" cm="1">
        <f t="array" ref="F529">SUM(_xlfn.MAP(_xlfn.SEQUENCE(4),_xlfn.LAMBDA(_xlpm.i,POWER(36,4-_xlpm.i)*_xlfn.MAP(MID(代码表[[#This Row],[代码]],_xlpm.i,1),_xlfn.LAMBDA(_xlpm.a,IF(CODE(_xlpm.a)&gt;64,CODE(_xlpm.a)-55,CODE(_xlpm.a)-48))))))</f>
        <v>#VALUE!</v>
      </c>
      <c r="G529" s="10" t="e">
        <f t="array" ref="G529">IFERROR(INDEX(角色MOD表[],MATCH(1,(角色MOD表[名称]=A529)*(角色MOD表[品质]=E529)*IF(D529="",1,(角色MOD表[属性]="")+ISNUMBER(FIND(D529,角色MOD表[属性]))),0),2),INDEX(武器MOD表[],MATCH(1,(武器MOD表[名称]=A529)*(武器MOD表[品质]=E529)*((武器MOD表[类型]=C529)+(武器MOD表[限定]=C529)),0),2))</f>
        <v>#N/A</v>
      </c>
    </row>
    <row r="530" spans="1:7">
      <c r="A530" t="s">
        <v>1347</v>
      </c>
      <c r="B530" s="50"/>
      <c r="F530" s="4" t="e" cm="1">
        <f t="array" ref="F530">SUM(_xlfn.MAP(_xlfn.SEQUENCE(4),_xlfn.LAMBDA(_xlpm.i,POWER(36,4-_xlpm.i)*_xlfn.MAP(MID(代码表[[#This Row],[代码]],_xlpm.i,1),_xlfn.LAMBDA(_xlpm.a,IF(CODE(_xlpm.a)&gt;64,CODE(_xlpm.a)-55,CODE(_xlpm.a)-48))))))</f>
        <v>#VALUE!</v>
      </c>
      <c r="G530" s="10" t="e">
        <f t="array" ref="G530">IFERROR(INDEX(角色MOD表[],MATCH(1,(角色MOD表[名称]=A530)*(角色MOD表[品质]=E530)*IF(D530="",1,(角色MOD表[属性]="")+ISNUMBER(FIND(D530,角色MOD表[属性]))),0),2),INDEX(武器MOD表[],MATCH(1,(武器MOD表[名称]=A530)*(武器MOD表[品质]=E530)*((武器MOD表[类型]=C530)+(武器MOD表[限定]=C530)),0),2))</f>
        <v>#N/A</v>
      </c>
    </row>
  </sheetData>
  <sheetProtection formatCells="0" insertHyperlinks="0" autoFilter="0"/>
  <pageMargins left="0.7" right="0.7" top="0.75" bottom="0.75" header="0.3" footer="0.3"/>
  <pageSetup paperSize="9" orientation="portrait"/>
  <headerFooter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84"/>
  <sheetViews>
    <sheetView topLeftCell="AE176" workbookViewId="0">
      <selection activeCell="AE176" sqref="AE176"/>
    </sheetView>
  </sheetViews>
  <sheetFormatPr defaultColWidth="9" defaultRowHeight="14.25"/>
  <cols>
    <col min="1" max="1" width="14.125" customWidth="1"/>
    <col min="4" max="4" width="13" customWidth="1"/>
    <col min="23" max="30" width="10.25" customWidth="1"/>
    <col min="33" max="33" width="97.75" customWidth="1"/>
  </cols>
  <sheetData>
    <row r="1" spans="1:31">
      <c r="A1" s="13" t="s">
        <v>46</v>
      </c>
      <c r="B1" s="14" t="s">
        <v>47</v>
      </c>
      <c r="C1" s="15" t="s">
        <v>48</v>
      </c>
      <c r="D1" s="14" t="s">
        <v>9</v>
      </c>
      <c r="E1" s="14" t="s">
        <v>49</v>
      </c>
      <c r="F1" s="14" t="s">
        <v>50</v>
      </c>
      <c r="G1" s="14" t="s">
        <v>61</v>
      </c>
      <c r="H1" s="14" t="s">
        <v>62</v>
      </c>
      <c r="I1" s="14" t="s">
        <v>63</v>
      </c>
      <c r="J1" s="14" t="s">
        <v>64</v>
      </c>
      <c r="K1" s="14" t="s">
        <v>58</v>
      </c>
      <c r="L1" s="14" t="s">
        <v>59</v>
      </c>
      <c r="M1" s="14" t="s">
        <v>84</v>
      </c>
      <c r="N1" s="14" t="s">
        <v>60</v>
      </c>
      <c r="O1" s="14" t="s">
        <v>85</v>
      </c>
      <c r="P1" s="14" t="s">
        <v>332</v>
      </c>
      <c r="Q1" s="14" t="s">
        <v>1348</v>
      </c>
      <c r="R1" s="14" t="s">
        <v>67</v>
      </c>
      <c r="S1" s="14" t="s">
        <v>94</v>
      </c>
      <c r="T1" s="14" t="s">
        <v>68</v>
      </c>
      <c r="U1" s="14" t="s">
        <v>70</v>
      </c>
      <c r="V1" s="14" t="s">
        <v>65</v>
      </c>
      <c r="W1" s="14" t="s">
        <v>66</v>
      </c>
      <c r="X1" s="25" t="s">
        <v>151</v>
      </c>
      <c r="Y1" s="25" t="s">
        <v>334</v>
      </c>
      <c r="Z1" s="25" t="s">
        <v>116</v>
      </c>
      <c r="AA1" s="25" t="s">
        <v>130</v>
      </c>
      <c r="AB1" s="25" t="s">
        <v>132</v>
      </c>
      <c r="AC1" s="25" t="s">
        <v>337</v>
      </c>
      <c r="AD1" s="25" t="s">
        <v>119</v>
      </c>
      <c r="AE1" s="25" t="s">
        <v>1349</v>
      </c>
    </row>
    <row r="2" spans="1:31">
      <c r="A2" s="16" t="s">
        <v>702</v>
      </c>
      <c r="B2" s="17" t="s">
        <v>1350</v>
      </c>
      <c r="C2" s="17" t="s">
        <v>704</v>
      </c>
      <c r="D2" s="18"/>
      <c r="E2" s="20"/>
      <c r="F2" s="20">
        <v>5</v>
      </c>
      <c r="G2" s="20"/>
      <c r="H2" s="20"/>
      <c r="I2" s="24"/>
      <c r="J2" s="24"/>
      <c r="K2" s="23">
        <v>0.15</v>
      </c>
      <c r="L2" s="20"/>
      <c r="M2" s="20"/>
      <c r="N2" s="20"/>
      <c r="O2" s="20"/>
      <c r="P2" s="20"/>
      <c r="Q2" s="20"/>
      <c r="R2" s="20"/>
      <c r="S2" s="20"/>
      <c r="T2" s="20"/>
      <c r="U2" s="23"/>
      <c r="V2" s="23"/>
      <c r="W2" s="20"/>
      <c r="X2" s="26"/>
      <c r="Y2" s="26"/>
      <c r="Z2" s="26"/>
      <c r="AA2" s="28"/>
      <c r="AB2" s="28"/>
      <c r="AC2" s="28"/>
      <c r="AD2" s="29"/>
      <c r="AE2" s="26"/>
    </row>
    <row r="3" spans="1:31">
      <c r="A3" s="19" t="s">
        <v>705</v>
      </c>
      <c r="B3" s="17" t="s">
        <v>1350</v>
      </c>
      <c r="C3" s="17" t="s">
        <v>704</v>
      </c>
      <c r="D3" s="18"/>
      <c r="E3" s="20"/>
      <c r="F3" s="20">
        <v>5</v>
      </c>
      <c r="G3" s="20"/>
      <c r="H3" s="20"/>
      <c r="I3" s="20"/>
      <c r="J3" s="20"/>
      <c r="K3" s="20"/>
      <c r="L3" s="23">
        <v>0.15</v>
      </c>
      <c r="M3" s="20"/>
      <c r="N3" s="20"/>
      <c r="O3" s="20"/>
      <c r="P3" s="20"/>
      <c r="Q3" s="20"/>
      <c r="R3" s="20"/>
      <c r="S3" s="20"/>
      <c r="T3" s="20"/>
      <c r="U3" s="23"/>
      <c r="V3" s="23"/>
      <c r="W3" s="20"/>
      <c r="X3" s="26"/>
      <c r="Y3" s="26"/>
      <c r="Z3" s="26"/>
      <c r="AA3" s="28"/>
      <c r="AB3" s="28"/>
      <c r="AC3" s="28"/>
      <c r="AD3" s="29"/>
      <c r="AE3" s="26"/>
    </row>
    <row r="4" spans="1:31">
      <c r="A4" s="19" t="s">
        <v>707</v>
      </c>
      <c r="B4" s="17" t="s">
        <v>1350</v>
      </c>
      <c r="C4" s="17" t="s">
        <v>704</v>
      </c>
      <c r="D4" s="18"/>
      <c r="E4" s="20"/>
      <c r="F4" s="20">
        <v>5</v>
      </c>
      <c r="G4" s="20"/>
      <c r="H4" s="20"/>
      <c r="I4" s="20"/>
      <c r="J4" s="20"/>
      <c r="K4" s="20"/>
      <c r="L4" s="20"/>
      <c r="M4" s="23">
        <v>0.15</v>
      </c>
      <c r="N4" s="20"/>
      <c r="O4" s="20"/>
      <c r="P4" s="20"/>
      <c r="Q4" s="20"/>
      <c r="R4" s="20"/>
      <c r="S4" s="20"/>
      <c r="T4" s="20"/>
      <c r="U4" s="23"/>
      <c r="V4" s="23"/>
      <c r="W4" s="20"/>
      <c r="X4" s="26"/>
      <c r="Y4" s="26"/>
      <c r="Z4" s="26"/>
      <c r="AA4" s="28"/>
      <c r="AB4" s="28"/>
      <c r="AC4" s="28"/>
      <c r="AD4" s="29"/>
      <c r="AE4" s="26"/>
    </row>
    <row r="5" spans="1:31">
      <c r="A5" s="16" t="s">
        <v>709</v>
      </c>
      <c r="B5" s="17" t="s">
        <v>1350</v>
      </c>
      <c r="C5" s="17" t="s">
        <v>704</v>
      </c>
      <c r="D5" s="18"/>
      <c r="E5" s="20"/>
      <c r="F5" s="20">
        <v>8</v>
      </c>
      <c r="G5" s="20"/>
      <c r="H5" s="20"/>
      <c r="I5" s="20"/>
      <c r="J5" s="20"/>
      <c r="K5" s="20"/>
      <c r="L5" s="20"/>
      <c r="M5" s="20"/>
      <c r="N5" s="20"/>
      <c r="O5" s="23">
        <v>0.2</v>
      </c>
      <c r="P5" s="20"/>
      <c r="Q5" s="20"/>
      <c r="R5" s="20"/>
      <c r="S5" s="20"/>
      <c r="T5" s="20"/>
      <c r="U5" s="23"/>
      <c r="V5" s="23"/>
      <c r="W5" s="20"/>
      <c r="X5" s="26"/>
      <c r="Y5" s="26"/>
      <c r="Z5" s="26"/>
      <c r="AA5" s="28"/>
      <c r="AB5" s="28"/>
      <c r="AC5" s="28"/>
      <c r="AD5" s="29"/>
      <c r="AE5" s="26"/>
    </row>
    <row r="6" spans="1:31">
      <c r="A6" s="16" t="s">
        <v>711</v>
      </c>
      <c r="B6" s="17" t="s">
        <v>1350</v>
      </c>
      <c r="C6" s="17" t="s">
        <v>704</v>
      </c>
      <c r="D6" s="18"/>
      <c r="E6" s="20"/>
      <c r="F6" s="20">
        <v>4</v>
      </c>
      <c r="G6" s="20"/>
      <c r="H6" s="20"/>
      <c r="I6" s="20"/>
      <c r="J6" s="20"/>
      <c r="K6" s="20"/>
      <c r="L6" s="20"/>
      <c r="M6" s="20"/>
      <c r="N6" s="23">
        <v>0.15</v>
      </c>
      <c r="O6" s="20"/>
      <c r="P6" s="20"/>
      <c r="Q6" s="20"/>
      <c r="R6" s="20"/>
      <c r="S6" s="20"/>
      <c r="T6" s="20"/>
      <c r="U6" s="23"/>
      <c r="V6" s="23"/>
      <c r="W6" s="20"/>
      <c r="X6" s="26"/>
      <c r="Y6" s="26"/>
      <c r="Z6" s="26"/>
      <c r="AA6" s="28"/>
      <c r="AB6" s="28"/>
      <c r="AC6" s="28"/>
      <c r="AD6" s="29"/>
      <c r="AE6" s="26"/>
    </row>
    <row r="7" spans="1:31">
      <c r="A7" s="16" t="s">
        <v>994</v>
      </c>
      <c r="B7" s="20" t="s">
        <v>1351</v>
      </c>
      <c r="C7" s="20" t="s">
        <v>78</v>
      </c>
      <c r="D7" s="20" t="s">
        <v>10</v>
      </c>
      <c r="E7" s="20" t="s">
        <v>1352</v>
      </c>
      <c r="F7" s="20">
        <v>27</v>
      </c>
      <c r="G7" s="23">
        <v>0.33</v>
      </c>
      <c r="H7" s="23">
        <v>0.22</v>
      </c>
      <c r="I7" s="20"/>
      <c r="J7" s="20"/>
      <c r="K7" s="20"/>
      <c r="L7" s="20"/>
      <c r="M7" s="20"/>
      <c r="N7" s="20"/>
      <c r="O7" s="20"/>
      <c r="P7" s="23">
        <v>0.33</v>
      </c>
      <c r="Q7" s="23"/>
      <c r="R7" s="20"/>
      <c r="S7" s="20"/>
      <c r="T7" s="20"/>
      <c r="U7" s="20"/>
      <c r="V7" s="20"/>
      <c r="W7" s="20"/>
      <c r="X7" s="26"/>
      <c r="Y7" s="26"/>
      <c r="Z7" s="26"/>
      <c r="AA7" s="28"/>
      <c r="AB7" s="28"/>
      <c r="AC7" s="28"/>
      <c r="AD7" s="29"/>
      <c r="AE7" s="26"/>
    </row>
    <row r="8" spans="1:31">
      <c r="A8" s="16" t="s">
        <v>983</v>
      </c>
      <c r="B8" s="20" t="s">
        <v>1351</v>
      </c>
      <c r="C8" s="20" t="s">
        <v>78</v>
      </c>
      <c r="D8" s="20" t="s">
        <v>10</v>
      </c>
      <c r="E8" s="20" t="s">
        <v>1352</v>
      </c>
      <c r="F8" s="20">
        <v>25</v>
      </c>
      <c r="G8" s="23">
        <v>0.33</v>
      </c>
      <c r="H8" s="20"/>
      <c r="I8" s="20"/>
      <c r="J8" s="23">
        <v>0.33</v>
      </c>
      <c r="K8" s="20"/>
      <c r="L8" s="20"/>
      <c r="M8" s="20"/>
      <c r="N8" s="20"/>
      <c r="O8" s="20"/>
      <c r="P8" s="23">
        <v>0.33</v>
      </c>
      <c r="Q8" s="23"/>
      <c r="R8" s="20"/>
      <c r="S8" s="20"/>
      <c r="T8" s="20"/>
      <c r="U8" s="20"/>
      <c r="V8" s="20"/>
      <c r="W8" s="20"/>
      <c r="X8" s="26"/>
      <c r="Y8" s="26"/>
      <c r="Z8" s="26"/>
      <c r="AA8" s="28"/>
      <c r="AB8" s="28"/>
      <c r="AC8" s="28"/>
      <c r="AD8" s="29"/>
      <c r="AE8" s="26"/>
    </row>
    <row r="9" spans="1:31">
      <c r="A9" s="16" t="s">
        <v>998</v>
      </c>
      <c r="B9" s="20" t="s">
        <v>1351</v>
      </c>
      <c r="C9" s="20" t="s">
        <v>78</v>
      </c>
      <c r="D9" s="20" t="s">
        <v>72</v>
      </c>
      <c r="E9" s="20" t="s">
        <v>1352</v>
      </c>
      <c r="F9" s="20">
        <v>27</v>
      </c>
      <c r="G9" s="23">
        <v>0.33</v>
      </c>
      <c r="H9" s="23">
        <v>0.22</v>
      </c>
      <c r="I9" s="20"/>
      <c r="J9" s="20"/>
      <c r="K9" s="20"/>
      <c r="L9" s="20"/>
      <c r="M9" s="20"/>
      <c r="N9" s="20"/>
      <c r="O9" s="20"/>
      <c r="P9" s="23">
        <v>0.33</v>
      </c>
      <c r="Q9" s="23"/>
      <c r="R9" s="20"/>
      <c r="S9" s="20"/>
      <c r="T9" s="20"/>
      <c r="U9" s="20"/>
      <c r="V9" s="20"/>
      <c r="W9" s="20"/>
      <c r="X9" s="26"/>
      <c r="Y9" s="26"/>
      <c r="Z9" s="26"/>
      <c r="AA9" s="28"/>
      <c r="AB9" s="28"/>
      <c r="AC9" s="28"/>
      <c r="AD9" s="29"/>
      <c r="AE9" s="26"/>
    </row>
    <row r="10" spans="1:31">
      <c r="A10" s="16" t="s">
        <v>986</v>
      </c>
      <c r="B10" s="20" t="s">
        <v>1351</v>
      </c>
      <c r="C10" s="20" t="s">
        <v>78</v>
      </c>
      <c r="D10" s="20" t="s">
        <v>72</v>
      </c>
      <c r="E10" s="20" t="s">
        <v>1352</v>
      </c>
      <c r="F10" s="20">
        <v>25</v>
      </c>
      <c r="G10" s="23">
        <v>0.33</v>
      </c>
      <c r="H10" s="20"/>
      <c r="I10" s="20"/>
      <c r="J10" s="23">
        <v>0.33</v>
      </c>
      <c r="K10" s="20"/>
      <c r="L10" s="20"/>
      <c r="M10" s="20"/>
      <c r="N10" s="20"/>
      <c r="O10" s="20"/>
      <c r="P10" s="23">
        <v>0.33</v>
      </c>
      <c r="Q10" s="23"/>
      <c r="R10" s="20"/>
      <c r="S10" s="20"/>
      <c r="T10" s="20"/>
      <c r="U10" s="20"/>
      <c r="V10" s="20"/>
      <c r="W10" s="20"/>
      <c r="X10" s="26"/>
      <c r="Y10" s="26"/>
      <c r="Z10" s="26"/>
      <c r="AA10" s="28"/>
      <c r="AB10" s="28"/>
      <c r="AC10" s="28"/>
      <c r="AD10" s="29"/>
      <c r="AE10" s="26"/>
    </row>
    <row r="11" spans="1:31">
      <c r="A11" s="16" t="s">
        <v>996</v>
      </c>
      <c r="B11" s="20" t="s">
        <v>1351</v>
      </c>
      <c r="C11" s="20" t="s">
        <v>78</v>
      </c>
      <c r="D11" s="20" t="s">
        <v>43</v>
      </c>
      <c r="E11" s="20" t="s">
        <v>1352</v>
      </c>
      <c r="F11" s="20">
        <v>27</v>
      </c>
      <c r="G11" s="23">
        <v>0.33</v>
      </c>
      <c r="H11" s="23">
        <v>0.22</v>
      </c>
      <c r="I11" s="20"/>
      <c r="J11" s="20"/>
      <c r="K11" s="20"/>
      <c r="L11" s="20"/>
      <c r="M11" s="20"/>
      <c r="N11" s="20"/>
      <c r="O11" s="20"/>
      <c r="P11" s="23">
        <v>0.33</v>
      </c>
      <c r="Q11" s="23"/>
      <c r="R11" s="20"/>
      <c r="S11" s="20"/>
      <c r="T11" s="20"/>
      <c r="U11" s="20"/>
      <c r="V11" s="20"/>
      <c r="W11" s="20"/>
      <c r="X11" s="26"/>
      <c r="Y11" s="26"/>
      <c r="Z11" s="26"/>
      <c r="AA11" s="28"/>
      <c r="AB11" s="28"/>
      <c r="AC11" s="28"/>
      <c r="AD11" s="29"/>
      <c r="AE11" s="26"/>
    </row>
    <row r="12" spans="1:31">
      <c r="A12" s="16" t="s">
        <v>83</v>
      </c>
      <c r="B12" s="20" t="s">
        <v>1351</v>
      </c>
      <c r="C12" s="20" t="s">
        <v>78</v>
      </c>
      <c r="D12" s="20" t="s">
        <v>43</v>
      </c>
      <c r="E12" s="20" t="s">
        <v>1352</v>
      </c>
      <c r="F12" s="20">
        <v>25</v>
      </c>
      <c r="G12" s="23">
        <v>0.33</v>
      </c>
      <c r="H12" s="20"/>
      <c r="I12" s="20"/>
      <c r="J12" s="23">
        <v>0.33</v>
      </c>
      <c r="K12" s="20"/>
      <c r="L12" s="20"/>
      <c r="M12" s="20"/>
      <c r="N12" s="20"/>
      <c r="O12" s="20"/>
      <c r="P12" s="23">
        <v>0.33</v>
      </c>
      <c r="Q12" s="23"/>
      <c r="R12" s="20"/>
      <c r="S12" s="20"/>
      <c r="T12" s="20"/>
      <c r="U12" s="20"/>
      <c r="V12" s="20"/>
      <c r="W12" s="20"/>
      <c r="X12" s="26"/>
      <c r="Y12" s="26"/>
      <c r="Z12" s="26"/>
      <c r="AA12" s="28"/>
      <c r="AB12" s="28"/>
      <c r="AC12" s="28"/>
      <c r="AD12" s="29"/>
      <c r="AE12" s="26"/>
    </row>
    <row r="13" spans="1:31">
      <c r="A13" s="16" t="s">
        <v>992</v>
      </c>
      <c r="B13" s="20" t="s">
        <v>1351</v>
      </c>
      <c r="C13" s="20" t="s">
        <v>78</v>
      </c>
      <c r="D13" s="20" t="s">
        <v>37</v>
      </c>
      <c r="E13" s="20" t="s">
        <v>1352</v>
      </c>
      <c r="F13" s="20">
        <v>27</v>
      </c>
      <c r="G13" s="23">
        <v>0.33</v>
      </c>
      <c r="H13" s="23">
        <v>0.22</v>
      </c>
      <c r="I13" s="20"/>
      <c r="J13" s="20"/>
      <c r="K13" s="20"/>
      <c r="L13" s="20"/>
      <c r="M13" s="20"/>
      <c r="N13" s="20"/>
      <c r="O13" s="20"/>
      <c r="P13" s="23">
        <v>0.33</v>
      </c>
      <c r="Q13" s="23"/>
      <c r="R13" s="20"/>
      <c r="S13" s="20"/>
      <c r="T13" s="20"/>
      <c r="U13" s="20"/>
      <c r="V13" s="20"/>
      <c r="W13" s="20"/>
      <c r="X13" s="26"/>
      <c r="Y13" s="26"/>
      <c r="Z13" s="26"/>
      <c r="AA13" s="28"/>
      <c r="AB13" s="28"/>
      <c r="AC13" s="28"/>
      <c r="AD13" s="29"/>
      <c r="AE13" s="26"/>
    </row>
    <row r="14" spans="1:31">
      <c r="A14" s="16" t="s">
        <v>981</v>
      </c>
      <c r="B14" s="20" t="s">
        <v>1351</v>
      </c>
      <c r="C14" s="20" t="s">
        <v>78</v>
      </c>
      <c r="D14" s="20" t="s">
        <v>37</v>
      </c>
      <c r="E14" s="20" t="s">
        <v>1352</v>
      </c>
      <c r="F14" s="20">
        <v>25</v>
      </c>
      <c r="G14" s="23">
        <v>0.33</v>
      </c>
      <c r="H14" s="20"/>
      <c r="I14" s="20"/>
      <c r="J14" s="23">
        <v>0.33</v>
      </c>
      <c r="K14" s="20"/>
      <c r="L14" s="20"/>
      <c r="M14" s="20"/>
      <c r="N14" s="20"/>
      <c r="O14" s="20"/>
      <c r="P14" s="23">
        <v>0.33</v>
      </c>
      <c r="Q14" s="23"/>
      <c r="R14" s="20"/>
      <c r="S14" s="20"/>
      <c r="T14" s="20"/>
      <c r="U14" s="20"/>
      <c r="V14" s="20"/>
      <c r="W14" s="20"/>
      <c r="X14" s="26"/>
      <c r="Y14" s="26"/>
      <c r="Z14" s="26"/>
      <c r="AA14" s="28"/>
      <c r="AB14" s="28"/>
      <c r="AC14" s="28"/>
      <c r="AD14" s="29"/>
      <c r="AE14" s="26"/>
    </row>
    <row r="15" spans="1:31">
      <c r="A15" s="16" t="s">
        <v>990</v>
      </c>
      <c r="B15" s="20" t="s">
        <v>1351</v>
      </c>
      <c r="C15" s="20" t="s">
        <v>78</v>
      </c>
      <c r="D15" s="20" t="s">
        <v>23</v>
      </c>
      <c r="E15" s="20" t="s">
        <v>1352</v>
      </c>
      <c r="F15" s="20">
        <v>27</v>
      </c>
      <c r="G15" s="23">
        <v>0.33</v>
      </c>
      <c r="H15" s="23">
        <v>0.22</v>
      </c>
      <c r="I15" s="20"/>
      <c r="J15" s="20"/>
      <c r="K15" s="20"/>
      <c r="L15" s="20"/>
      <c r="M15" s="20"/>
      <c r="N15" s="20"/>
      <c r="O15" s="20"/>
      <c r="P15" s="23">
        <v>0.33</v>
      </c>
      <c r="Q15" s="23"/>
      <c r="R15" s="20"/>
      <c r="S15" s="20"/>
      <c r="T15" s="20"/>
      <c r="U15" s="20"/>
      <c r="V15" s="20"/>
      <c r="W15" s="20"/>
      <c r="X15" s="26"/>
      <c r="Y15" s="26"/>
      <c r="Z15" s="26"/>
      <c r="AA15" s="28"/>
      <c r="AB15" s="28"/>
      <c r="AC15" s="28"/>
      <c r="AD15" s="29"/>
      <c r="AE15" s="26"/>
    </row>
    <row r="16" spans="1:31">
      <c r="A16" s="16" t="s">
        <v>979</v>
      </c>
      <c r="B16" s="20" t="s">
        <v>1351</v>
      </c>
      <c r="C16" s="20" t="s">
        <v>78</v>
      </c>
      <c r="D16" s="20" t="s">
        <v>23</v>
      </c>
      <c r="E16" s="20" t="s">
        <v>1352</v>
      </c>
      <c r="F16" s="20">
        <v>25</v>
      </c>
      <c r="G16" s="23">
        <v>0.33</v>
      </c>
      <c r="H16" s="20"/>
      <c r="I16" s="20"/>
      <c r="J16" s="23">
        <v>0.33</v>
      </c>
      <c r="K16" s="20"/>
      <c r="L16" s="20"/>
      <c r="M16" s="20"/>
      <c r="N16" s="20"/>
      <c r="O16" s="20"/>
      <c r="P16" s="23">
        <v>0.33</v>
      </c>
      <c r="Q16" s="23"/>
      <c r="R16" s="20"/>
      <c r="S16" s="20"/>
      <c r="T16" s="20"/>
      <c r="U16" s="20"/>
      <c r="V16" s="20"/>
      <c r="W16" s="20"/>
      <c r="X16" s="26"/>
      <c r="Y16" s="26"/>
      <c r="Z16" s="26"/>
      <c r="AA16" s="28"/>
      <c r="AB16" s="28"/>
      <c r="AC16" s="28"/>
      <c r="AD16" s="29"/>
      <c r="AE16" s="26"/>
    </row>
    <row r="17" spans="1:31">
      <c r="A17" s="16" t="s">
        <v>988</v>
      </c>
      <c r="B17" s="20" t="s">
        <v>1351</v>
      </c>
      <c r="C17" s="20" t="s">
        <v>78</v>
      </c>
      <c r="D17" s="20" t="s">
        <v>79</v>
      </c>
      <c r="E17" s="20" t="s">
        <v>1352</v>
      </c>
      <c r="F17" s="20">
        <v>27</v>
      </c>
      <c r="G17" s="23">
        <v>0.33</v>
      </c>
      <c r="H17" s="23">
        <v>0.22</v>
      </c>
      <c r="I17" s="20"/>
      <c r="J17" s="20"/>
      <c r="K17" s="20"/>
      <c r="L17" s="20"/>
      <c r="M17" s="20"/>
      <c r="N17" s="20"/>
      <c r="O17" s="20"/>
      <c r="P17" s="23">
        <v>0.33</v>
      </c>
      <c r="Q17" s="23"/>
      <c r="R17" s="20"/>
      <c r="S17" s="20"/>
      <c r="T17" s="20"/>
      <c r="U17" s="20"/>
      <c r="V17" s="20"/>
      <c r="W17" s="20"/>
      <c r="X17" s="26"/>
      <c r="Y17" s="26"/>
      <c r="Z17" s="26"/>
      <c r="AA17" s="28"/>
      <c r="AB17" s="28"/>
      <c r="AC17" s="28"/>
      <c r="AD17" s="29"/>
      <c r="AE17" s="26"/>
    </row>
    <row r="18" spans="1:31">
      <c r="A18" s="16" t="s">
        <v>977</v>
      </c>
      <c r="B18" s="20" t="s">
        <v>1351</v>
      </c>
      <c r="C18" s="20" t="s">
        <v>78</v>
      </c>
      <c r="D18" s="20" t="s">
        <v>79</v>
      </c>
      <c r="E18" s="20" t="s">
        <v>1352</v>
      </c>
      <c r="F18" s="20">
        <v>25</v>
      </c>
      <c r="G18" s="23">
        <v>0.33</v>
      </c>
      <c r="H18" s="20"/>
      <c r="I18" s="20"/>
      <c r="J18" s="23">
        <v>0.33</v>
      </c>
      <c r="K18" s="20"/>
      <c r="L18" s="20"/>
      <c r="M18" s="20"/>
      <c r="N18" s="20"/>
      <c r="O18" s="20"/>
      <c r="P18" s="23">
        <v>0.33</v>
      </c>
      <c r="Q18" s="23"/>
      <c r="R18" s="20"/>
      <c r="S18" s="20"/>
      <c r="T18" s="20"/>
      <c r="U18" s="20"/>
      <c r="V18" s="20"/>
      <c r="W18" s="20"/>
      <c r="X18" s="26"/>
      <c r="Y18" s="26"/>
      <c r="Z18" s="26"/>
      <c r="AA18" s="28"/>
      <c r="AB18" s="28"/>
      <c r="AC18" s="28"/>
      <c r="AD18" s="29"/>
      <c r="AE18" s="26"/>
    </row>
    <row r="19" customFormat="1" spans="1:31">
      <c r="A19" s="16" t="s">
        <v>1000</v>
      </c>
      <c r="B19" s="20" t="s">
        <v>1353</v>
      </c>
      <c r="C19" s="20" t="s">
        <v>78</v>
      </c>
      <c r="D19" s="21" t="s">
        <v>1354</v>
      </c>
      <c r="E19" s="20" t="s">
        <v>1355</v>
      </c>
      <c r="F19" s="20">
        <v>28</v>
      </c>
      <c r="G19" s="20"/>
      <c r="H19" s="20"/>
      <c r="I19" s="20"/>
      <c r="J19" s="20"/>
      <c r="K19" s="23">
        <v>1.54</v>
      </c>
      <c r="L19" s="23">
        <v>1.54</v>
      </c>
      <c r="M19" s="20"/>
      <c r="N19" s="23">
        <v>1.54</v>
      </c>
      <c r="O19" s="20"/>
      <c r="P19" s="20"/>
      <c r="Q19" s="20"/>
      <c r="R19" s="20"/>
      <c r="S19" s="20"/>
      <c r="T19" s="20"/>
      <c r="U19" s="20"/>
      <c r="V19" s="23">
        <v>0.33</v>
      </c>
      <c r="W19" s="20"/>
      <c r="X19" s="26"/>
      <c r="Y19" s="26"/>
      <c r="Z19" s="26"/>
      <c r="AA19" s="28"/>
      <c r="AB19" s="28"/>
      <c r="AC19" s="28"/>
      <c r="AD19" s="29"/>
      <c r="AE19" s="27"/>
    </row>
    <row r="20" customFormat="1" spans="1:31">
      <c r="A20" s="16" t="s">
        <v>77</v>
      </c>
      <c r="B20" s="20" t="s">
        <v>1353</v>
      </c>
      <c r="C20" s="20" t="s">
        <v>78</v>
      </c>
      <c r="D20" s="21" t="s">
        <v>1354</v>
      </c>
      <c r="E20" s="20" t="s">
        <v>1355</v>
      </c>
      <c r="F20" s="20">
        <v>28</v>
      </c>
      <c r="G20" s="20"/>
      <c r="H20" s="20"/>
      <c r="I20" s="20"/>
      <c r="J20" s="20"/>
      <c r="K20" s="23">
        <v>1.54</v>
      </c>
      <c r="L20" s="23">
        <v>1.54</v>
      </c>
      <c r="M20" s="20"/>
      <c r="N20" s="23">
        <v>1.54</v>
      </c>
      <c r="O20" s="20"/>
      <c r="P20" s="20"/>
      <c r="Q20" s="20"/>
      <c r="R20" s="20"/>
      <c r="S20" s="20"/>
      <c r="T20" s="20"/>
      <c r="U20" s="20"/>
      <c r="V20" s="23"/>
      <c r="W20" s="23">
        <v>0.11</v>
      </c>
      <c r="X20" s="27"/>
      <c r="Y20" s="27"/>
      <c r="Z20" s="27"/>
      <c r="AA20" s="27"/>
      <c r="AB20" s="27"/>
      <c r="AC20" s="27"/>
      <c r="AD20" s="29"/>
      <c r="AE20" s="27"/>
    </row>
    <row r="21" customFormat="1" spans="1:31">
      <c r="A21" s="16" t="s">
        <v>1003</v>
      </c>
      <c r="B21" s="20" t="s">
        <v>1353</v>
      </c>
      <c r="C21" s="20" t="s">
        <v>78</v>
      </c>
      <c r="D21" s="21" t="s">
        <v>1354</v>
      </c>
      <c r="E21" s="20" t="s">
        <v>1355</v>
      </c>
      <c r="F21" s="20">
        <v>28</v>
      </c>
      <c r="G21" s="20"/>
      <c r="H21" s="20"/>
      <c r="I21" s="20"/>
      <c r="J21" s="20"/>
      <c r="K21" s="23">
        <v>1.54</v>
      </c>
      <c r="L21" s="23">
        <v>1.54</v>
      </c>
      <c r="M21" s="20"/>
      <c r="N21" s="23">
        <v>1.54</v>
      </c>
      <c r="O21" s="20"/>
      <c r="P21" s="20"/>
      <c r="Q21" s="20"/>
      <c r="R21" s="23"/>
      <c r="S21" s="23"/>
      <c r="T21" s="23">
        <v>-0.5</v>
      </c>
      <c r="U21" s="20"/>
      <c r="V21" s="23"/>
      <c r="W21" s="20"/>
      <c r="X21" s="27">
        <v>0.33</v>
      </c>
      <c r="Y21" s="26"/>
      <c r="Z21" s="26"/>
      <c r="AA21" s="28"/>
      <c r="AB21" s="28"/>
      <c r="AC21" s="28"/>
      <c r="AD21" s="29"/>
      <c r="AE21" s="27"/>
    </row>
    <row r="22" customFormat="1" spans="1:31">
      <c r="A22" s="16" t="s">
        <v>117</v>
      </c>
      <c r="B22" s="20" t="s">
        <v>1353</v>
      </c>
      <c r="C22" s="20" t="s">
        <v>78</v>
      </c>
      <c r="D22" s="21" t="s">
        <v>1354</v>
      </c>
      <c r="E22" s="20" t="s">
        <v>1355</v>
      </c>
      <c r="F22" s="20">
        <v>28</v>
      </c>
      <c r="G22" s="20"/>
      <c r="H22" s="20"/>
      <c r="I22" s="20"/>
      <c r="J22" s="20"/>
      <c r="K22" s="23">
        <v>1.54</v>
      </c>
      <c r="L22" s="23">
        <v>1.54</v>
      </c>
      <c r="M22" s="20"/>
      <c r="N22" s="23">
        <v>1.54</v>
      </c>
      <c r="O22" s="20"/>
      <c r="P22" s="20"/>
      <c r="Q22" s="20"/>
      <c r="R22" s="20"/>
      <c r="S22" s="20"/>
      <c r="T22" s="20"/>
      <c r="U22" s="20"/>
      <c r="V22" s="23"/>
      <c r="W22" s="20"/>
      <c r="X22" s="26"/>
      <c r="Y22" s="26"/>
      <c r="Z22" s="26"/>
      <c r="AA22" s="28"/>
      <c r="AB22" s="28"/>
      <c r="AC22" s="28"/>
      <c r="AD22" s="29">
        <v>12</v>
      </c>
      <c r="AE22" s="27" t="s">
        <v>1356</v>
      </c>
    </row>
    <row r="23" customFormat="1" spans="1:31">
      <c r="A23" s="16" t="s">
        <v>95</v>
      </c>
      <c r="B23" s="20" t="s">
        <v>1353</v>
      </c>
      <c r="C23" s="20" t="s">
        <v>78</v>
      </c>
      <c r="D23" s="21" t="s">
        <v>1354</v>
      </c>
      <c r="E23" s="20" t="s">
        <v>1355</v>
      </c>
      <c r="F23" s="20">
        <v>28</v>
      </c>
      <c r="G23" s="20"/>
      <c r="H23" s="20"/>
      <c r="I23" s="20"/>
      <c r="J23" s="20"/>
      <c r="K23" s="23">
        <v>1.54</v>
      </c>
      <c r="L23" s="23">
        <v>1.54</v>
      </c>
      <c r="M23" s="20"/>
      <c r="N23" s="23">
        <v>1.54</v>
      </c>
      <c r="O23" s="20"/>
      <c r="P23" s="20"/>
      <c r="Q23" s="20"/>
      <c r="R23" s="23">
        <v>0.2</v>
      </c>
      <c r="S23" s="23"/>
      <c r="T23" s="23"/>
      <c r="U23" s="20"/>
      <c r="V23" s="23"/>
      <c r="W23" s="20"/>
      <c r="X23" s="26"/>
      <c r="Y23" s="26"/>
      <c r="Z23" s="26"/>
      <c r="AA23" s="28"/>
      <c r="AB23" s="28"/>
      <c r="AC23" s="28"/>
      <c r="AD23" s="29"/>
      <c r="AE23" s="27"/>
    </row>
    <row r="24" spans="1:31">
      <c r="A24" s="16" t="s">
        <v>74</v>
      </c>
      <c r="B24" s="20" t="s">
        <v>1357</v>
      </c>
      <c r="C24" s="20" t="s">
        <v>78</v>
      </c>
      <c r="D24" s="20" t="s">
        <v>1358</v>
      </c>
      <c r="E24" s="20" t="s">
        <v>1355</v>
      </c>
      <c r="F24" s="20">
        <v>18</v>
      </c>
      <c r="G24" s="20"/>
      <c r="H24" s="20"/>
      <c r="I24" s="20"/>
      <c r="J24" s="20"/>
      <c r="K24" s="23">
        <v>1.76</v>
      </c>
      <c r="L24" s="23"/>
      <c r="M24" s="20"/>
      <c r="N24" s="23"/>
      <c r="O24" s="20"/>
      <c r="P24" s="20"/>
      <c r="Q24" s="20"/>
      <c r="R24" s="20"/>
      <c r="S24" s="20"/>
      <c r="T24" s="20"/>
      <c r="U24" s="20"/>
      <c r="V24" s="23"/>
      <c r="W24" s="20"/>
      <c r="X24" s="26"/>
      <c r="Y24" s="26"/>
      <c r="Z24" s="26"/>
      <c r="AA24" s="28"/>
      <c r="AB24" s="28"/>
      <c r="AC24" s="28"/>
      <c r="AD24" s="29"/>
      <c r="AE24" s="27"/>
    </row>
    <row r="25" spans="1:31">
      <c r="A25" s="16" t="s">
        <v>75</v>
      </c>
      <c r="B25" s="20" t="s">
        <v>1357</v>
      </c>
      <c r="C25" s="20" t="s">
        <v>78</v>
      </c>
      <c r="D25" s="20" t="s">
        <v>72</v>
      </c>
      <c r="E25" s="20" t="s">
        <v>1359</v>
      </c>
      <c r="F25" s="20">
        <v>20</v>
      </c>
      <c r="G25" s="23">
        <v>0.44</v>
      </c>
      <c r="H25" s="20"/>
      <c r="I25" s="20"/>
      <c r="J25" s="20"/>
      <c r="K25" s="23"/>
      <c r="L25" s="23">
        <v>0.88</v>
      </c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6"/>
      <c r="Y25" s="26"/>
      <c r="Z25" s="26"/>
      <c r="AA25" s="28"/>
      <c r="AB25" s="28"/>
      <c r="AC25" s="28"/>
      <c r="AD25" s="29"/>
      <c r="AE25" s="26"/>
    </row>
    <row r="26" spans="1:31">
      <c r="A26" s="16" t="s">
        <v>39</v>
      </c>
      <c r="B26" s="20" t="s">
        <v>1357</v>
      </c>
      <c r="C26" s="20" t="s">
        <v>78</v>
      </c>
      <c r="D26" s="20" t="s">
        <v>37</v>
      </c>
      <c r="E26" s="20" t="s">
        <v>1359</v>
      </c>
      <c r="F26" s="20">
        <v>18</v>
      </c>
      <c r="G26" s="23"/>
      <c r="H26" s="20"/>
      <c r="I26" s="20"/>
      <c r="J26" s="23">
        <v>0.55</v>
      </c>
      <c r="K26" s="23"/>
      <c r="L26" s="23">
        <v>0.88</v>
      </c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6"/>
      <c r="Y26" s="26"/>
      <c r="Z26" s="26"/>
      <c r="AA26" s="28"/>
      <c r="AB26" s="28"/>
      <c r="AC26" s="28"/>
      <c r="AD26" s="29"/>
      <c r="AE26" s="26"/>
    </row>
    <row r="27" spans="1:31">
      <c r="A27" s="16" t="s">
        <v>12</v>
      </c>
      <c r="B27" s="20" t="s">
        <v>1357</v>
      </c>
      <c r="C27" s="20" t="s">
        <v>78</v>
      </c>
      <c r="D27" s="20" t="s">
        <v>1360</v>
      </c>
      <c r="E27" s="20" t="s">
        <v>1352</v>
      </c>
      <c r="F27" s="20">
        <v>20</v>
      </c>
      <c r="G27" s="23">
        <v>0.44</v>
      </c>
      <c r="H27" s="20"/>
      <c r="I27" s="20"/>
      <c r="J27" s="20"/>
      <c r="K27" s="23">
        <v>0.88</v>
      </c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6"/>
      <c r="Y27" s="26"/>
      <c r="Z27" s="26"/>
      <c r="AA27" s="28"/>
      <c r="AB27" s="28"/>
      <c r="AC27" s="28"/>
      <c r="AD27" s="29"/>
      <c r="AE27" s="26"/>
    </row>
    <row r="28" spans="1:31">
      <c r="A28" s="16" t="s">
        <v>13</v>
      </c>
      <c r="B28" s="20" t="s">
        <v>1357</v>
      </c>
      <c r="C28" s="20" t="s">
        <v>78</v>
      </c>
      <c r="D28" s="20" t="s">
        <v>43</v>
      </c>
      <c r="E28" s="20" t="s">
        <v>1359</v>
      </c>
      <c r="F28" s="20">
        <v>18</v>
      </c>
      <c r="G28" s="23"/>
      <c r="H28" s="23">
        <v>0.33</v>
      </c>
      <c r="I28" s="20"/>
      <c r="J28" s="20"/>
      <c r="K28" s="23"/>
      <c r="L28" s="20"/>
      <c r="M28" s="20"/>
      <c r="N28" s="20"/>
      <c r="O28" s="23">
        <v>0.44</v>
      </c>
      <c r="P28" s="20"/>
      <c r="Q28" s="20"/>
      <c r="R28" s="20"/>
      <c r="S28" s="20"/>
      <c r="T28" s="20"/>
      <c r="U28" s="20"/>
      <c r="V28" s="20"/>
      <c r="W28" s="20"/>
      <c r="X28" s="26"/>
      <c r="Y28" s="26"/>
      <c r="Z28" s="26"/>
      <c r="AA28" s="28"/>
      <c r="AB28" s="28"/>
      <c r="AC28" s="28"/>
      <c r="AD28" s="29"/>
      <c r="AE28" s="26"/>
    </row>
    <row r="29" spans="1:31">
      <c r="A29" s="16" t="s">
        <v>25</v>
      </c>
      <c r="B29" s="20" t="s">
        <v>1357</v>
      </c>
      <c r="C29" s="20" t="s">
        <v>78</v>
      </c>
      <c r="D29" s="20" t="s">
        <v>23</v>
      </c>
      <c r="E29" s="20" t="s">
        <v>1359</v>
      </c>
      <c r="F29" s="20">
        <v>18</v>
      </c>
      <c r="G29" s="23">
        <v>0.44</v>
      </c>
      <c r="H29" s="23"/>
      <c r="I29" s="20"/>
      <c r="J29" s="20"/>
      <c r="K29" s="23"/>
      <c r="L29" s="20"/>
      <c r="M29" s="20"/>
      <c r="N29" s="20"/>
      <c r="O29" s="23">
        <v>0.44</v>
      </c>
      <c r="P29" s="20"/>
      <c r="Q29" s="20"/>
      <c r="R29" s="20"/>
      <c r="S29" s="20"/>
      <c r="T29" s="20"/>
      <c r="U29" s="20"/>
      <c r="V29" s="20"/>
      <c r="W29" s="20"/>
      <c r="X29" s="26"/>
      <c r="Y29" s="26"/>
      <c r="Z29" s="26"/>
      <c r="AA29" s="28"/>
      <c r="AB29" s="28"/>
      <c r="AC29" s="28"/>
      <c r="AD29" s="29"/>
      <c r="AE29" s="26"/>
    </row>
    <row r="30" spans="1:31">
      <c r="A30" s="19" t="s">
        <v>1041</v>
      </c>
      <c r="B30" s="20" t="s">
        <v>1357</v>
      </c>
      <c r="C30" s="20" t="s">
        <v>78</v>
      </c>
      <c r="D30" s="20" t="s">
        <v>37</v>
      </c>
      <c r="E30" s="20" t="s">
        <v>1361</v>
      </c>
      <c r="F30" s="20">
        <v>20</v>
      </c>
      <c r="G30" s="23"/>
      <c r="H30" s="23">
        <v>0.33</v>
      </c>
      <c r="I30" s="20"/>
      <c r="J30" s="20"/>
      <c r="K30" s="23">
        <v>0.88</v>
      </c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6"/>
      <c r="Y30" s="26"/>
      <c r="Z30" s="26"/>
      <c r="AA30" s="28"/>
      <c r="AB30" s="28"/>
      <c r="AC30" s="28"/>
      <c r="AD30" s="29"/>
      <c r="AE30" s="26"/>
    </row>
    <row r="31" spans="1:31">
      <c r="A31" s="19" t="s">
        <v>1041</v>
      </c>
      <c r="B31" s="20" t="s">
        <v>1357</v>
      </c>
      <c r="C31" s="20" t="s">
        <v>78</v>
      </c>
      <c r="D31" s="20" t="s">
        <v>72</v>
      </c>
      <c r="E31" s="20" t="s">
        <v>1352</v>
      </c>
      <c r="F31" s="20">
        <v>20</v>
      </c>
      <c r="G31" s="23"/>
      <c r="H31" s="23">
        <v>0.33</v>
      </c>
      <c r="I31" s="20"/>
      <c r="J31" s="20"/>
      <c r="K31" s="23">
        <v>0.88</v>
      </c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6"/>
      <c r="Y31" s="26"/>
      <c r="Z31" s="26"/>
      <c r="AA31" s="28"/>
      <c r="AB31" s="28"/>
      <c r="AC31" s="28"/>
      <c r="AD31" s="29"/>
      <c r="AE31" s="26"/>
    </row>
    <row r="32" spans="1:31">
      <c r="A32" s="22" t="s">
        <v>81</v>
      </c>
      <c r="B32" s="20" t="s">
        <v>1357</v>
      </c>
      <c r="C32" s="20" t="s">
        <v>78</v>
      </c>
      <c r="D32" s="18" t="s">
        <v>1362</v>
      </c>
      <c r="E32" s="20" t="s">
        <v>1361</v>
      </c>
      <c r="F32" s="20">
        <v>17</v>
      </c>
      <c r="G32" s="20"/>
      <c r="H32" s="20"/>
      <c r="I32" s="20"/>
      <c r="J32" s="20"/>
      <c r="K32" s="23">
        <v>0.88</v>
      </c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3">
        <v>0.22</v>
      </c>
      <c r="W32" s="20"/>
      <c r="X32" s="26"/>
      <c r="Y32" s="26"/>
      <c r="Z32" s="26"/>
      <c r="AA32" s="28"/>
      <c r="AB32" s="28"/>
      <c r="AC32" s="28"/>
      <c r="AD32" s="29"/>
      <c r="AE32" s="27"/>
    </row>
    <row r="33" spans="1:31">
      <c r="A33" s="22" t="s">
        <v>14</v>
      </c>
      <c r="B33" s="20" t="s">
        <v>1357</v>
      </c>
      <c r="C33" s="20" t="s">
        <v>78</v>
      </c>
      <c r="D33" s="18" t="s">
        <v>1363</v>
      </c>
      <c r="E33" s="20" t="s">
        <v>1361</v>
      </c>
      <c r="F33" s="20">
        <v>17</v>
      </c>
      <c r="G33" s="20"/>
      <c r="H33" s="20"/>
      <c r="I33" s="20"/>
      <c r="J33" s="20"/>
      <c r="K33" s="23">
        <v>0.88</v>
      </c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3"/>
      <c r="W33" s="23">
        <v>0.07</v>
      </c>
      <c r="X33" s="27"/>
      <c r="Y33" s="27"/>
      <c r="Z33" s="27"/>
      <c r="AA33" s="27"/>
      <c r="AB33" s="27"/>
      <c r="AC33" s="27"/>
      <c r="AD33" s="29"/>
      <c r="AE33" s="27"/>
    </row>
    <row r="34" spans="1:31">
      <c r="A34" s="22" t="s">
        <v>15</v>
      </c>
      <c r="B34" s="20" t="s">
        <v>1357</v>
      </c>
      <c r="C34" s="20" t="s">
        <v>78</v>
      </c>
      <c r="D34" s="18" t="s">
        <v>1364</v>
      </c>
      <c r="E34" s="20" t="s">
        <v>1355</v>
      </c>
      <c r="F34" s="20">
        <v>18</v>
      </c>
      <c r="G34" s="20"/>
      <c r="H34" s="20"/>
      <c r="I34" s="20"/>
      <c r="J34" s="20"/>
      <c r="K34" s="23">
        <v>0.88</v>
      </c>
      <c r="L34" s="20"/>
      <c r="M34" s="20"/>
      <c r="N34" s="23">
        <v>0.88</v>
      </c>
      <c r="O34" s="20"/>
      <c r="P34" s="20"/>
      <c r="Q34" s="20"/>
      <c r="R34" s="20"/>
      <c r="S34" s="20"/>
      <c r="T34" s="20"/>
      <c r="U34" s="20"/>
      <c r="V34" s="23"/>
      <c r="W34" s="23"/>
      <c r="X34" s="27"/>
      <c r="Y34" s="27"/>
      <c r="Z34" s="27"/>
      <c r="AA34" s="27"/>
      <c r="AB34" s="27"/>
      <c r="AC34" s="27"/>
      <c r="AD34" s="29"/>
      <c r="AE34" s="27"/>
    </row>
    <row r="35" spans="1:31">
      <c r="A35" s="22" t="s">
        <v>26</v>
      </c>
      <c r="B35" s="20" t="s">
        <v>1357</v>
      </c>
      <c r="C35" s="20" t="s">
        <v>78</v>
      </c>
      <c r="D35" s="18" t="s">
        <v>1365</v>
      </c>
      <c r="E35" s="20" t="s">
        <v>1361</v>
      </c>
      <c r="F35" s="20">
        <v>18</v>
      </c>
      <c r="G35" s="20"/>
      <c r="H35" s="20"/>
      <c r="I35" s="20"/>
      <c r="J35" s="23">
        <v>0.55</v>
      </c>
      <c r="K35" s="23">
        <v>0.88</v>
      </c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3"/>
      <c r="W35" s="23"/>
      <c r="X35" s="27"/>
      <c r="Y35" s="27"/>
      <c r="Z35" s="27"/>
      <c r="AA35" s="27"/>
      <c r="AB35" s="27"/>
      <c r="AC35" s="27"/>
      <c r="AD35" s="29"/>
      <c r="AE35" s="27"/>
    </row>
    <row r="36" spans="1:31">
      <c r="A36" s="22" t="s">
        <v>27</v>
      </c>
      <c r="B36" s="20" t="s">
        <v>1357</v>
      </c>
      <c r="C36" s="20" t="s">
        <v>78</v>
      </c>
      <c r="D36" s="18" t="s">
        <v>1366</v>
      </c>
      <c r="E36" s="20" t="s">
        <v>1352</v>
      </c>
      <c r="F36" s="20">
        <v>18</v>
      </c>
      <c r="G36" s="20"/>
      <c r="H36" s="20"/>
      <c r="I36" s="23">
        <v>0.22</v>
      </c>
      <c r="J36" s="23"/>
      <c r="K36" s="23">
        <v>0.88</v>
      </c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3"/>
      <c r="W36" s="23"/>
      <c r="X36" s="27"/>
      <c r="Y36" s="27"/>
      <c r="Z36" s="27"/>
      <c r="AA36" s="27"/>
      <c r="AB36" s="27"/>
      <c r="AC36" s="27"/>
      <c r="AD36" s="29"/>
      <c r="AE36" s="27"/>
    </row>
    <row r="37" spans="1:31">
      <c r="A37" s="22" t="s">
        <v>28</v>
      </c>
      <c r="B37" s="20" t="s">
        <v>1357</v>
      </c>
      <c r="C37" s="20" t="s">
        <v>78</v>
      </c>
      <c r="D37" s="18" t="s">
        <v>1367</v>
      </c>
      <c r="E37" s="20" t="s">
        <v>1355</v>
      </c>
      <c r="F37" s="20">
        <v>18</v>
      </c>
      <c r="G37" s="20"/>
      <c r="H37" s="20"/>
      <c r="I37" s="20"/>
      <c r="J37" s="23"/>
      <c r="K37" s="23">
        <v>0.88</v>
      </c>
      <c r="L37" s="23">
        <v>0.88</v>
      </c>
      <c r="M37" s="20"/>
      <c r="N37" s="20"/>
      <c r="O37" s="20"/>
      <c r="P37" s="20"/>
      <c r="Q37" s="20"/>
      <c r="R37" s="20"/>
      <c r="S37" s="20"/>
      <c r="T37" s="20"/>
      <c r="U37" s="20"/>
      <c r="V37" s="23"/>
      <c r="W37" s="23"/>
      <c r="X37" s="27"/>
      <c r="Y37" s="27"/>
      <c r="Z37" s="27"/>
      <c r="AA37" s="27"/>
      <c r="AB37" s="27"/>
      <c r="AC37" s="27"/>
      <c r="AD37" s="29"/>
      <c r="AE37" s="27"/>
    </row>
    <row r="38" spans="1:31">
      <c r="A38" s="22" t="s">
        <v>1048</v>
      </c>
      <c r="B38" s="20" t="s">
        <v>1357</v>
      </c>
      <c r="C38" s="20" t="s">
        <v>78</v>
      </c>
      <c r="D38" s="18" t="s">
        <v>10</v>
      </c>
      <c r="E38" s="20" t="s">
        <v>1359</v>
      </c>
      <c r="F38" s="20">
        <v>20</v>
      </c>
      <c r="G38" s="20"/>
      <c r="H38" s="23">
        <v>0.33</v>
      </c>
      <c r="I38" s="23"/>
      <c r="J38" s="23"/>
      <c r="K38" s="23"/>
      <c r="L38" s="20"/>
      <c r="M38" s="20"/>
      <c r="N38" s="23">
        <v>0.88</v>
      </c>
      <c r="O38" s="20"/>
      <c r="P38" s="20"/>
      <c r="Q38" s="20"/>
      <c r="R38" s="20"/>
      <c r="S38" s="20"/>
      <c r="T38" s="20"/>
      <c r="U38" s="20"/>
      <c r="V38" s="23"/>
      <c r="W38" s="23"/>
      <c r="X38" s="27"/>
      <c r="Y38" s="27"/>
      <c r="Z38" s="27"/>
      <c r="AA38" s="27"/>
      <c r="AB38" s="27"/>
      <c r="AC38" s="27"/>
      <c r="AD38" s="29"/>
      <c r="AE38" s="27"/>
    </row>
    <row r="39" spans="1:31">
      <c r="A39" s="22" t="s">
        <v>82</v>
      </c>
      <c r="B39" s="20" t="s">
        <v>1357</v>
      </c>
      <c r="C39" s="20" t="s">
        <v>78</v>
      </c>
      <c r="D39" s="18" t="s">
        <v>79</v>
      </c>
      <c r="E39" s="20" t="s">
        <v>1361</v>
      </c>
      <c r="F39" s="20">
        <v>18</v>
      </c>
      <c r="G39" s="20"/>
      <c r="H39" s="20"/>
      <c r="I39" s="23">
        <v>0.22</v>
      </c>
      <c r="J39" s="23"/>
      <c r="K39" s="23"/>
      <c r="L39" s="20"/>
      <c r="M39" s="20"/>
      <c r="N39" s="23">
        <v>0.88</v>
      </c>
      <c r="O39" s="20"/>
      <c r="P39" s="20"/>
      <c r="Q39" s="20"/>
      <c r="R39" s="20"/>
      <c r="S39" s="20"/>
      <c r="T39" s="20"/>
      <c r="U39" s="20"/>
      <c r="V39" s="23"/>
      <c r="W39" s="23"/>
      <c r="X39" s="27"/>
      <c r="Y39" s="27"/>
      <c r="Z39" s="27"/>
      <c r="AA39" s="27"/>
      <c r="AB39" s="27"/>
      <c r="AC39" s="27"/>
      <c r="AD39" s="29"/>
      <c r="AE39" s="27"/>
    </row>
    <row r="40" spans="1:31">
      <c r="A40" s="22" t="s">
        <v>862</v>
      </c>
      <c r="B40" s="18" t="s">
        <v>1368</v>
      </c>
      <c r="C40" s="20" t="s">
        <v>78</v>
      </c>
      <c r="D40" s="18"/>
      <c r="E40" s="20" t="s">
        <v>1361</v>
      </c>
      <c r="F40" s="20">
        <v>24</v>
      </c>
      <c r="G40" s="20"/>
      <c r="H40" s="20"/>
      <c r="I40" s="23">
        <v>0.32</v>
      </c>
      <c r="J40" s="20"/>
      <c r="K40" s="20"/>
      <c r="L40" s="20"/>
      <c r="M40" s="20"/>
      <c r="N40" s="20"/>
      <c r="O40" s="23">
        <v>1</v>
      </c>
      <c r="P40" s="20"/>
      <c r="Q40" s="20"/>
      <c r="R40" s="20"/>
      <c r="S40" s="20"/>
      <c r="T40" s="20"/>
      <c r="U40" s="20"/>
      <c r="V40" s="20"/>
      <c r="W40" s="20"/>
      <c r="X40" s="26"/>
      <c r="Y40" s="26"/>
      <c r="Z40" s="26"/>
      <c r="AA40" s="28"/>
      <c r="AB40" s="28"/>
      <c r="AC40" s="28"/>
      <c r="AD40" s="29"/>
      <c r="AE40" s="26"/>
    </row>
    <row r="41" spans="1:31">
      <c r="A41" s="22" t="s">
        <v>1088</v>
      </c>
      <c r="B41" s="18" t="s">
        <v>1369</v>
      </c>
      <c r="C41" s="20" t="s">
        <v>78</v>
      </c>
      <c r="D41" s="18" t="s">
        <v>10</v>
      </c>
      <c r="E41" s="18" t="s">
        <v>1359</v>
      </c>
      <c r="F41" s="18">
        <v>27</v>
      </c>
      <c r="G41" s="23">
        <v>0.55</v>
      </c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34"/>
      <c r="S41" s="34"/>
      <c r="T41" s="34"/>
      <c r="U41" s="34"/>
      <c r="V41" s="20"/>
      <c r="W41" s="20"/>
      <c r="X41" s="26"/>
      <c r="Y41" s="26"/>
      <c r="Z41" s="26"/>
      <c r="AA41" s="28"/>
      <c r="AB41" s="28"/>
      <c r="AC41" s="28"/>
      <c r="AD41" s="29"/>
      <c r="AE41" s="26" t="s">
        <v>1370</v>
      </c>
    </row>
    <row r="42" spans="1:31">
      <c r="A42" s="22" t="s">
        <v>109</v>
      </c>
      <c r="B42" s="18" t="s">
        <v>1371</v>
      </c>
      <c r="C42" s="20" t="s">
        <v>78</v>
      </c>
      <c r="D42" s="18" t="s">
        <v>72</v>
      </c>
      <c r="E42" s="18" t="s">
        <v>1359</v>
      </c>
      <c r="F42" s="18">
        <v>27</v>
      </c>
      <c r="G42" s="23"/>
      <c r="H42" s="23">
        <v>0.44</v>
      </c>
      <c r="I42" s="20"/>
      <c r="J42" s="20"/>
      <c r="K42" s="20"/>
      <c r="L42" s="20"/>
      <c r="M42" s="20"/>
      <c r="N42" s="20"/>
      <c r="O42" s="20"/>
      <c r="P42" s="20"/>
      <c r="Q42" s="20"/>
      <c r="R42" s="34"/>
      <c r="S42" s="34"/>
      <c r="T42" s="34"/>
      <c r="U42" s="34"/>
      <c r="V42" s="20"/>
      <c r="W42" s="20"/>
      <c r="X42" s="26"/>
      <c r="Y42" s="26"/>
      <c r="Z42" s="26"/>
      <c r="AA42" s="28"/>
      <c r="AB42" s="28"/>
      <c r="AC42" s="28"/>
      <c r="AD42" s="29"/>
      <c r="AE42" s="39" t="s">
        <v>437</v>
      </c>
    </row>
    <row r="43" spans="1:31">
      <c r="A43" s="22" t="s">
        <v>73</v>
      </c>
      <c r="B43" s="18" t="s">
        <v>1371</v>
      </c>
      <c r="C43" s="20" t="s">
        <v>78</v>
      </c>
      <c r="D43" s="18" t="s">
        <v>72</v>
      </c>
      <c r="E43" s="18" t="s">
        <v>1359</v>
      </c>
      <c r="F43" s="18">
        <v>27</v>
      </c>
      <c r="G43" s="23"/>
      <c r="H43" s="23">
        <v>0.44</v>
      </c>
      <c r="I43" s="20"/>
      <c r="J43" s="20"/>
      <c r="K43" s="20"/>
      <c r="L43" s="20"/>
      <c r="M43" s="20"/>
      <c r="N43" s="20"/>
      <c r="O43" s="20"/>
      <c r="P43" s="20"/>
      <c r="Q43" s="20"/>
      <c r="R43" s="34"/>
      <c r="S43" s="34"/>
      <c r="T43" s="34"/>
      <c r="U43" s="34"/>
      <c r="V43" s="20"/>
      <c r="W43" s="20"/>
      <c r="X43" s="26"/>
      <c r="Y43" s="26"/>
      <c r="Z43" s="26"/>
      <c r="AA43" s="28"/>
      <c r="AB43" s="28"/>
      <c r="AC43" s="28"/>
      <c r="AD43" s="29"/>
      <c r="AE43" s="39" t="s">
        <v>1372</v>
      </c>
    </row>
    <row r="44" spans="1:31">
      <c r="A44" s="22" t="s">
        <v>1090</v>
      </c>
      <c r="B44" s="18" t="s">
        <v>1373</v>
      </c>
      <c r="C44" s="20" t="s">
        <v>78</v>
      </c>
      <c r="D44" s="18" t="s">
        <v>43</v>
      </c>
      <c r="E44" s="18" t="s">
        <v>1359</v>
      </c>
      <c r="F44" s="18">
        <v>27</v>
      </c>
      <c r="G44" s="23">
        <v>0.55</v>
      </c>
      <c r="H44" s="23"/>
      <c r="I44" s="20"/>
      <c r="J44" s="20"/>
      <c r="K44" s="20"/>
      <c r="L44" s="20"/>
      <c r="M44" s="20"/>
      <c r="N44" s="20"/>
      <c r="O44" s="20"/>
      <c r="P44" s="20"/>
      <c r="Q44" s="20"/>
      <c r="R44" s="34"/>
      <c r="S44" s="34"/>
      <c r="T44" s="34"/>
      <c r="U44" s="34"/>
      <c r="V44" s="20"/>
      <c r="W44" s="20"/>
      <c r="X44" s="26"/>
      <c r="Y44" s="26"/>
      <c r="Z44" s="26"/>
      <c r="AA44" s="28"/>
      <c r="AB44" s="28"/>
      <c r="AC44" s="28"/>
      <c r="AD44" s="29"/>
      <c r="AE44" s="39" t="s">
        <v>1374</v>
      </c>
    </row>
    <row r="45" spans="1:31">
      <c r="A45" s="22" t="s">
        <v>111</v>
      </c>
      <c r="B45" s="18" t="s">
        <v>1373</v>
      </c>
      <c r="C45" s="20" t="s">
        <v>78</v>
      </c>
      <c r="D45" s="18" t="s">
        <v>43</v>
      </c>
      <c r="E45" s="18" t="s">
        <v>1359</v>
      </c>
      <c r="F45" s="18">
        <v>27</v>
      </c>
      <c r="G45" s="23"/>
      <c r="H45" s="23">
        <v>0.44</v>
      </c>
      <c r="I45" s="20"/>
      <c r="J45" s="20"/>
      <c r="K45" s="20"/>
      <c r="L45" s="20"/>
      <c r="M45" s="20"/>
      <c r="N45" s="20"/>
      <c r="O45" s="20"/>
      <c r="P45" s="20"/>
      <c r="Q45" s="20"/>
      <c r="R45" s="34"/>
      <c r="S45" s="34"/>
      <c r="T45" s="34"/>
      <c r="U45" s="34"/>
      <c r="V45" s="20"/>
      <c r="W45" s="36"/>
      <c r="X45" s="28"/>
      <c r="Y45" s="28"/>
      <c r="Z45" s="28"/>
      <c r="AA45" s="28"/>
      <c r="AB45" s="28"/>
      <c r="AC45" s="28"/>
      <c r="AD45" s="29"/>
      <c r="AE45" s="39" t="s">
        <v>1375</v>
      </c>
    </row>
    <row r="46" spans="1:31">
      <c r="A46" s="22" t="s">
        <v>1086</v>
      </c>
      <c r="B46" s="18" t="s">
        <v>1376</v>
      </c>
      <c r="C46" s="20" t="s">
        <v>78</v>
      </c>
      <c r="D46" s="18" t="s">
        <v>37</v>
      </c>
      <c r="E46" s="18" t="s">
        <v>1359</v>
      </c>
      <c r="F46" s="18">
        <v>27</v>
      </c>
      <c r="G46" s="23">
        <v>0.55</v>
      </c>
      <c r="H46" s="20"/>
      <c r="I46" s="20"/>
      <c r="J46" s="20"/>
      <c r="K46" s="23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6"/>
      <c r="Y46" s="26"/>
      <c r="Z46" s="26"/>
      <c r="AA46" s="28"/>
      <c r="AB46" s="28"/>
      <c r="AC46" s="28"/>
      <c r="AD46" s="29"/>
      <c r="AE46" s="39" t="s">
        <v>1377</v>
      </c>
    </row>
    <row r="47" spans="1:31">
      <c r="A47" s="22" t="s">
        <v>24</v>
      </c>
      <c r="B47" s="18" t="s">
        <v>1378</v>
      </c>
      <c r="C47" s="20" t="s">
        <v>78</v>
      </c>
      <c r="D47" s="18" t="s">
        <v>23</v>
      </c>
      <c r="E47" s="18" t="s">
        <v>1359</v>
      </c>
      <c r="F47" s="18">
        <v>27</v>
      </c>
      <c r="G47" s="23">
        <v>0.55</v>
      </c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36"/>
      <c r="AB47" s="28"/>
      <c r="AC47" s="28"/>
      <c r="AD47" s="29"/>
      <c r="AE47" s="39" t="s">
        <v>1379</v>
      </c>
    </row>
    <row r="48" spans="1:31">
      <c r="A48" s="22" t="s">
        <v>435</v>
      </c>
      <c r="B48" s="18" t="s">
        <v>1378</v>
      </c>
      <c r="C48" s="20" t="s">
        <v>78</v>
      </c>
      <c r="D48" s="18" t="s">
        <v>23</v>
      </c>
      <c r="E48" s="18" t="s">
        <v>1359</v>
      </c>
      <c r="F48" s="18">
        <v>27</v>
      </c>
      <c r="G48" s="23">
        <v>0.55</v>
      </c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6"/>
      <c r="Y48" s="26"/>
      <c r="Z48" s="26"/>
      <c r="AA48" s="28"/>
      <c r="AB48" s="28"/>
      <c r="AC48" s="28"/>
      <c r="AD48" s="29"/>
      <c r="AE48" s="39" t="s">
        <v>1380</v>
      </c>
    </row>
    <row r="49" spans="1:31">
      <c r="A49" s="30" t="s">
        <v>1082</v>
      </c>
      <c r="B49" s="20" t="s">
        <v>1381</v>
      </c>
      <c r="C49" s="20" t="s">
        <v>78</v>
      </c>
      <c r="D49" s="18" t="s">
        <v>79</v>
      </c>
      <c r="E49" s="18" t="s">
        <v>1359</v>
      </c>
      <c r="F49" s="18">
        <v>27</v>
      </c>
      <c r="G49" s="23">
        <v>0.55</v>
      </c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6"/>
      <c r="Y49" s="26"/>
      <c r="Z49" s="26"/>
      <c r="AA49" s="28"/>
      <c r="AB49" s="28"/>
      <c r="AC49" s="28"/>
      <c r="AD49" s="29"/>
      <c r="AE49" s="39" t="s">
        <v>1382</v>
      </c>
    </row>
    <row r="50" spans="1:31">
      <c r="A50" s="22" t="s">
        <v>705</v>
      </c>
      <c r="B50" s="18" t="s">
        <v>1350</v>
      </c>
      <c r="C50" s="20" t="s">
        <v>78</v>
      </c>
      <c r="D50" s="18"/>
      <c r="E50" s="18" t="s">
        <v>1361</v>
      </c>
      <c r="F50" s="18">
        <v>15</v>
      </c>
      <c r="G50" s="20"/>
      <c r="H50" s="20"/>
      <c r="I50" s="20"/>
      <c r="J50" s="20"/>
      <c r="K50" s="20"/>
      <c r="L50" s="23">
        <v>1.54</v>
      </c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6"/>
      <c r="Y50" s="26"/>
      <c r="Z50" s="26"/>
      <c r="AA50" s="28"/>
      <c r="AB50" s="28"/>
      <c r="AC50" s="28"/>
      <c r="AD50" s="29"/>
      <c r="AE50" s="26"/>
    </row>
    <row r="51" spans="1:31">
      <c r="A51" s="22" t="s">
        <v>707</v>
      </c>
      <c r="B51" s="18" t="s">
        <v>1350</v>
      </c>
      <c r="C51" s="20" t="s">
        <v>78</v>
      </c>
      <c r="D51" s="18"/>
      <c r="E51" s="18" t="s">
        <v>1361</v>
      </c>
      <c r="F51" s="18">
        <v>16</v>
      </c>
      <c r="G51" s="20"/>
      <c r="H51" s="20"/>
      <c r="I51" s="20"/>
      <c r="J51" s="20"/>
      <c r="K51" s="20"/>
      <c r="L51" s="20"/>
      <c r="M51" s="23">
        <v>1.54</v>
      </c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6"/>
      <c r="Y51" s="26"/>
      <c r="Z51" s="26"/>
      <c r="AA51" s="28"/>
      <c r="AB51" s="28"/>
      <c r="AC51" s="28"/>
      <c r="AD51" s="29"/>
      <c r="AE51" s="26"/>
    </row>
    <row r="52" spans="1:31">
      <c r="A52" s="22" t="s">
        <v>711</v>
      </c>
      <c r="B52" s="18" t="s">
        <v>1350</v>
      </c>
      <c r="C52" s="20" t="s">
        <v>78</v>
      </c>
      <c r="D52" s="18"/>
      <c r="E52" s="18" t="s">
        <v>1361</v>
      </c>
      <c r="F52" s="18">
        <v>17</v>
      </c>
      <c r="G52" s="20"/>
      <c r="H52" s="20"/>
      <c r="I52" s="20"/>
      <c r="J52" s="20"/>
      <c r="K52" s="20"/>
      <c r="L52" s="20"/>
      <c r="M52" s="20"/>
      <c r="N52" s="23">
        <v>1.54</v>
      </c>
      <c r="O52" s="20"/>
      <c r="P52" s="20"/>
      <c r="Q52" s="20"/>
      <c r="R52" s="20"/>
      <c r="S52" s="20"/>
      <c r="T52" s="20"/>
      <c r="U52" s="20"/>
      <c r="V52" s="20"/>
      <c r="W52" s="20"/>
      <c r="X52" s="26"/>
      <c r="Y52" s="26"/>
      <c r="Z52" s="26"/>
      <c r="AA52" s="28"/>
      <c r="AB52" s="28"/>
      <c r="AC52" s="28"/>
      <c r="AD52" s="29"/>
      <c r="AE52" s="26"/>
    </row>
    <row r="53" spans="1:31">
      <c r="A53" s="22" t="s">
        <v>129</v>
      </c>
      <c r="B53" s="18" t="s">
        <v>1383</v>
      </c>
      <c r="C53" s="18" t="s">
        <v>78</v>
      </c>
      <c r="D53" s="18"/>
      <c r="E53" s="20" t="s">
        <v>1359</v>
      </c>
      <c r="F53" s="20">
        <v>19</v>
      </c>
      <c r="G53" s="20"/>
      <c r="H53" s="20"/>
      <c r="I53" s="20"/>
      <c r="J53" s="20"/>
      <c r="K53" s="23">
        <v>1.65</v>
      </c>
      <c r="L53" s="20"/>
      <c r="M53" s="20"/>
      <c r="N53" s="20"/>
      <c r="O53" s="20"/>
      <c r="P53" s="20"/>
      <c r="Q53" s="23">
        <v>0.22</v>
      </c>
      <c r="R53" s="20"/>
      <c r="S53" s="20"/>
      <c r="T53" s="20"/>
      <c r="U53" s="20"/>
      <c r="V53" s="20"/>
      <c r="W53" s="20"/>
      <c r="X53" s="26"/>
      <c r="Y53" s="26"/>
      <c r="Z53" s="26"/>
      <c r="AA53" s="28"/>
      <c r="AB53" s="28"/>
      <c r="AC53" s="28"/>
      <c r="AD53" s="29"/>
      <c r="AE53" s="26" t="s">
        <v>1384</v>
      </c>
    </row>
    <row r="54" spans="1:31">
      <c r="A54" s="16" t="s">
        <v>969</v>
      </c>
      <c r="B54" s="18" t="s">
        <v>1383</v>
      </c>
      <c r="C54" s="18" t="s">
        <v>78</v>
      </c>
      <c r="D54" s="18"/>
      <c r="E54" s="20" t="s">
        <v>1359</v>
      </c>
      <c r="F54" s="20">
        <v>17</v>
      </c>
      <c r="G54" s="23">
        <v>0.99</v>
      </c>
      <c r="H54" s="20"/>
      <c r="I54" s="20"/>
      <c r="J54" s="20"/>
      <c r="K54" s="20"/>
      <c r="L54" s="23">
        <v>-0.5</v>
      </c>
      <c r="M54" s="23">
        <v>-0.5</v>
      </c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6"/>
      <c r="Y54" s="26"/>
      <c r="Z54" s="26"/>
      <c r="AA54" s="28"/>
      <c r="AB54" s="28"/>
      <c r="AC54" s="28"/>
      <c r="AD54" s="29"/>
      <c r="AE54" s="26" t="s">
        <v>1385</v>
      </c>
    </row>
    <row r="55" spans="1:31">
      <c r="A55" s="16" t="s">
        <v>131</v>
      </c>
      <c r="B55" s="18" t="s">
        <v>1383</v>
      </c>
      <c r="C55" s="18" t="s">
        <v>78</v>
      </c>
      <c r="D55" s="18"/>
      <c r="E55" s="20" t="s">
        <v>1359</v>
      </c>
      <c r="F55" s="20">
        <v>18</v>
      </c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3">
        <v>0.44</v>
      </c>
      <c r="S55" s="23"/>
      <c r="T55" s="23"/>
      <c r="U55" s="23"/>
      <c r="V55" s="20"/>
      <c r="W55" s="20"/>
      <c r="X55" s="26"/>
      <c r="Y55" s="26"/>
      <c r="Z55" s="26"/>
      <c r="AA55" s="28"/>
      <c r="AB55" s="28"/>
      <c r="AC55" s="28"/>
      <c r="AD55" s="29"/>
      <c r="AE55" s="26" t="s">
        <v>1386</v>
      </c>
    </row>
    <row r="56" spans="1:31">
      <c r="A56" s="16" t="s">
        <v>972</v>
      </c>
      <c r="B56" s="18" t="s">
        <v>1383</v>
      </c>
      <c r="C56" s="18" t="s">
        <v>78</v>
      </c>
      <c r="D56" s="18"/>
      <c r="E56" s="20" t="s">
        <v>1359</v>
      </c>
      <c r="F56" s="20">
        <v>18</v>
      </c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3">
        <v>0.44</v>
      </c>
      <c r="S56" s="23"/>
      <c r="T56" s="23"/>
      <c r="U56" s="23"/>
      <c r="V56" s="20"/>
      <c r="W56" s="20"/>
      <c r="X56" s="26"/>
      <c r="Y56" s="26"/>
      <c r="Z56" s="26"/>
      <c r="AA56" s="28"/>
      <c r="AB56" s="28"/>
      <c r="AC56" s="28"/>
      <c r="AD56" s="29"/>
      <c r="AE56" s="26" t="s">
        <v>1387</v>
      </c>
    </row>
    <row r="57" spans="1:31">
      <c r="A57" s="16" t="s">
        <v>113</v>
      </c>
      <c r="B57" s="18" t="s">
        <v>1383</v>
      </c>
      <c r="C57" s="18" t="s">
        <v>78</v>
      </c>
      <c r="D57" s="18"/>
      <c r="E57" s="20" t="s">
        <v>1359</v>
      </c>
      <c r="F57" s="20">
        <v>18</v>
      </c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3"/>
      <c r="V57" s="20"/>
      <c r="W57" s="20"/>
      <c r="X57" s="26"/>
      <c r="Y57" s="26"/>
      <c r="Z57" s="26"/>
      <c r="AA57" s="28"/>
      <c r="AB57" s="28"/>
      <c r="AC57" s="28">
        <v>0.44</v>
      </c>
      <c r="AD57" s="29"/>
      <c r="AE57" s="26" t="s">
        <v>1388</v>
      </c>
    </row>
    <row r="58" spans="1:31">
      <c r="A58" s="16" t="s">
        <v>975</v>
      </c>
      <c r="B58" s="18" t="s">
        <v>1383</v>
      </c>
      <c r="C58" s="18" t="s">
        <v>78</v>
      </c>
      <c r="D58" s="18"/>
      <c r="E58" s="20" t="s">
        <v>1359</v>
      </c>
      <c r="F58" s="20">
        <v>16</v>
      </c>
      <c r="G58" s="20"/>
      <c r="H58" s="20"/>
      <c r="I58" s="20"/>
      <c r="J58" s="20"/>
      <c r="K58" s="23">
        <v>2.31</v>
      </c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6"/>
      <c r="Y58" s="26"/>
      <c r="Z58" s="26"/>
      <c r="AA58" s="28"/>
      <c r="AB58" s="28"/>
      <c r="AC58" s="28"/>
      <c r="AD58" s="29"/>
      <c r="AE58" s="26" t="s">
        <v>1389</v>
      </c>
    </row>
    <row r="59" spans="1:31">
      <c r="A59" s="16" t="s">
        <v>1058</v>
      </c>
      <c r="B59" s="18" t="s">
        <v>1390</v>
      </c>
      <c r="C59" s="18" t="s">
        <v>78</v>
      </c>
      <c r="D59" s="18"/>
      <c r="E59" s="20" t="s">
        <v>1359</v>
      </c>
      <c r="F59" s="20">
        <v>14</v>
      </c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3">
        <v>0.33</v>
      </c>
      <c r="S59" s="20"/>
      <c r="T59" s="20"/>
      <c r="U59" s="23"/>
      <c r="V59" s="23"/>
      <c r="W59" s="20"/>
      <c r="X59" s="26"/>
      <c r="Y59" s="26"/>
      <c r="Z59" s="26"/>
      <c r="AA59" s="28"/>
      <c r="AB59" s="28"/>
      <c r="AC59" s="28"/>
      <c r="AD59" s="29"/>
      <c r="AE59" s="26"/>
    </row>
    <row r="60" spans="1:31">
      <c r="A60" s="16" t="s">
        <v>1060</v>
      </c>
      <c r="B60" s="18" t="s">
        <v>1390</v>
      </c>
      <c r="C60" s="18" t="s">
        <v>78</v>
      </c>
      <c r="D60" s="18"/>
      <c r="E60" s="20" t="s">
        <v>1359</v>
      </c>
      <c r="F60" s="20">
        <v>14</v>
      </c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3">
        <v>0.33</v>
      </c>
      <c r="S60" s="20"/>
      <c r="T60" s="20"/>
      <c r="U60" s="23"/>
      <c r="V60" s="23"/>
      <c r="W60" s="20"/>
      <c r="X60" s="26"/>
      <c r="Y60" s="26"/>
      <c r="Z60" s="26"/>
      <c r="AA60" s="28"/>
      <c r="AB60" s="28"/>
      <c r="AC60" s="28"/>
      <c r="AD60" s="29"/>
      <c r="AE60" s="26"/>
    </row>
    <row r="61" spans="1:31">
      <c r="A61" s="16" t="s">
        <v>1062</v>
      </c>
      <c r="B61" s="18" t="s">
        <v>1390</v>
      </c>
      <c r="C61" s="18" t="s">
        <v>78</v>
      </c>
      <c r="D61" s="18"/>
      <c r="E61" s="20" t="s">
        <v>1359</v>
      </c>
      <c r="F61" s="20">
        <v>14</v>
      </c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3">
        <v>0.33</v>
      </c>
      <c r="S61" s="20"/>
      <c r="T61" s="20"/>
      <c r="U61" s="23"/>
      <c r="V61" s="23"/>
      <c r="W61" s="20"/>
      <c r="X61" s="26"/>
      <c r="Y61" s="26"/>
      <c r="Z61" s="26"/>
      <c r="AA61" s="28"/>
      <c r="AB61" s="28"/>
      <c r="AC61" s="28"/>
      <c r="AD61" s="29"/>
      <c r="AE61" s="26"/>
    </row>
    <row r="62" spans="1:31">
      <c r="A62" s="31" t="s">
        <v>1064</v>
      </c>
      <c r="B62" s="32" t="s">
        <v>1390</v>
      </c>
      <c r="C62" s="32" t="s">
        <v>78</v>
      </c>
      <c r="D62" s="18"/>
      <c r="E62" s="33" t="s">
        <v>1359</v>
      </c>
      <c r="F62" s="33">
        <v>14</v>
      </c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5">
        <v>0.33</v>
      </c>
      <c r="S62" s="33"/>
      <c r="T62" s="33"/>
      <c r="U62" s="35"/>
      <c r="V62" s="35"/>
      <c r="W62" s="33"/>
      <c r="X62" s="37"/>
      <c r="Y62" s="37"/>
      <c r="Z62" s="37"/>
      <c r="AA62" s="38"/>
      <c r="AB62" s="38"/>
      <c r="AC62" s="38"/>
      <c r="AD62" s="40"/>
      <c r="AE62" s="37"/>
    </row>
    <row r="63" spans="1:31">
      <c r="A63" s="16" t="s">
        <v>1066</v>
      </c>
      <c r="B63" s="18" t="s">
        <v>1390</v>
      </c>
      <c r="C63" s="18" t="s">
        <v>78</v>
      </c>
      <c r="D63" s="18"/>
      <c r="E63" s="20" t="s">
        <v>1359</v>
      </c>
      <c r="F63" s="20">
        <v>14</v>
      </c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3">
        <v>0.33</v>
      </c>
      <c r="S63" s="20"/>
      <c r="T63" s="20"/>
      <c r="U63" s="23"/>
      <c r="V63" s="23"/>
      <c r="W63" s="20"/>
      <c r="X63" s="26"/>
      <c r="Y63" s="26"/>
      <c r="Z63" s="26"/>
      <c r="AA63" s="28"/>
      <c r="AB63" s="28"/>
      <c r="AC63" s="28"/>
      <c r="AD63" s="29"/>
      <c r="AE63" s="26"/>
    </row>
    <row r="64" spans="1:31">
      <c r="A64" s="16" t="s">
        <v>1068</v>
      </c>
      <c r="B64" s="18" t="s">
        <v>1390</v>
      </c>
      <c r="C64" s="18" t="s">
        <v>78</v>
      </c>
      <c r="D64" s="18"/>
      <c r="E64" s="20" t="s">
        <v>1359</v>
      </c>
      <c r="F64" s="20">
        <v>14</v>
      </c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3">
        <v>0.33</v>
      </c>
      <c r="S64" s="20"/>
      <c r="T64" s="20"/>
      <c r="U64" s="23"/>
      <c r="V64" s="23"/>
      <c r="W64" s="20"/>
      <c r="X64" s="26"/>
      <c r="Y64" s="26"/>
      <c r="Z64" s="26"/>
      <c r="AA64" s="28"/>
      <c r="AB64" s="28"/>
      <c r="AC64" s="28"/>
      <c r="AD64" s="29"/>
      <c r="AE64" s="26"/>
    </row>
    <row r="65" spans="1:31">
      <c r="A65" s="31" t="s">
        <v>1070</v>
      </c>
      <c r="B65" s="32" t="s">
        <v>1390</v>
      </c>
      <c r="C65" s="32" t="s">
        <v>78</v>
      </c>
      <c r="D65" s="18"/>
      <c r="E65" s="33" t="s">
        <v>1359</v>
      </c>
      <c r="F65" s="33">
        <v>14</v>
      </c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5">
        <v>0.33</v>
      </c>
      <c r="S65" s="33"/>
      <c r="T65" s="33"/>
      <c r="U65" s="35"/>
      <c r="V65" s="35"/>
      <c r="W65" s="33"/>
      <c r="X65" s="37"/>
      <c r="Y65" s="37"/>
      <c r="Z65" s="37"/>
      <c r="AA65" s="38"/>
      <c r="AB65" s="38"/>
      <c r="AC65" s="38"/>
      <c r="AD65" s="40"/>
      <c r="AE65" s="37"/>
    </row>
    <row r="66" spans="1:31">
      <c r="A66" s="31" t="s">
        <v>1072</v>
      </c>
      <c r="B66" s="32" t="s">
        <v>1390</v>
      </c>
      <c r="C66" s="32" t="s">
        <v>78</v>
      </c>
      <c r="D66" s="18"/>
      <c r="E66" s="33" t="s">
        <v>1359</v>
      </c>
      <c r="F66" s="33">
        <v>14</v>
      </c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5">
        <v>0.33</v>
      </c>
      <c r="S66" s="33"/>
      <c r="T66" s="33"/>
      <c r="U66" s="35"/>
      <c r="V66" s="35"/>
      <c r="W66" s="33"/>
      <c r="X66" s="37"/>
      <c r="Y66" s="37"/>
      <c r="Z66" s="37"/>
      <c r="AA66" s="38"/>
      <c r="AB66" s="38"/>
      <c r="AC66" s="38"/>
      <c r="AD66" s="40"/>
      <c r="AE66" s="37"/>
    </row>
    <row r="67" spans="1:31">
      <c r="A67" s="31" t="s">
        <v>1074</v>
      </c>
      <c r="B67" s="32" t="s">
        <v>1390</v>
      </c>
      <c r="C67" s="32" t="s">
        <v>78</v>
      </c>
      <c r="D67" s="18"/>
      <c r="E67" s="33" t="s">
        <v>1359</v>
      </c>
      <c r="F67" s="33">
        <v>14</v>
      </c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5">
        <v>0.33</v>
      </c>
      <c r="S67" s="33"/>
      <c r="T67" s="33"/>
      <c r="U67" s="35"/>
      <c r="V67" s="35"/>
      <c r="W67" s="33"/>
      <c r="X67" s="37"/>
      <c r="Y67" s="37"/>
      <c r="Z67" s="37"/>
      <c r="AA67" s="38"/>
      <c r="AB67" s="38"/>
      <c r="AC67" s="38"/>
      <c r="AD67" s="40"/>
      <c r="AE67" s="37"/>
    </row>
    <row r="68" spans="1:31">
      <c r="A68" s="41" t="s">
        <v>1076</v>
      </c>
      <c r="B68" s="32" t="s">
        <v>1390</v>
      </c>
      <c r="C68" s="32" t="s">
        <v>78</v>
      </c>
      <c r="D68" s="18"/>
      <c r="E68" s="33" t="s">
        <v>1359</v>
      </c>
      <c r="F68" s="33">
        <v>14</v>
      </c>
      <c r="G68" s="33"/>
      <c r="H68" s="33"/>
      <c r="I68" s="20"/>
      <c r="J68" s="33"/>
      <c r="K68" s="33"/>
      <c r="L68" s="33"/>
      <c r="M68" s="33"/>
      <c r="N68" s="33"/>
      <c r="O68" s="33"/>
      <c r="P68" s="33"/>
      <c r="Q68" s="33"/>
      <c r="R68" s="35">
        <v>0.33</v>
      </c>
      <c r="S68" s="33"/>
      <c r="T68" s="33"/>
      <c r="U68" s="35"/>
      <c r="V68" s="35"/>
      <c r="W68" s="33"/>
      <c r="X68" s="37"/>
      <c r="Y68" s="37"/>
      <c r="Z68" s="37"/>
      <c r="AA68" s="38"/>
      <c r="AB68" s="38"/>
      <c r="AC68" s="38"/>
      <c r="AD68" s="40"/>
      <c r="AE68" s="37"/>
    </row>
    <row r="69" spans="1:31">
      <c r="A69" s="16" t="s">
        <v>1078</v>
      </c>
      <c r="B69" s="32" t="s">
        <v>1390</v>
      </c>
      <c r="C69" s="32" t="s">
        <v>78</v>
      </c>
      <c r="D69" s="18"/>
      <c r="E69" s="20" t="s">
        <v>1359</v>
      </c>
      <c r="F69" s="20">
        <v>14</v>
      </c>
      <c r="G69" s="20"/>
      <c r="H69" s="20"/>
      <c r="I69" s="33"/>
      <c r="J69" s="20"/>
      <c r="K69" s="20"/>
      <c r="L69" s="20"/>
      <c r="M69" s="20"/>
      <c r="N69" s="20"/>
      <c r="O69" s="20"/>
      <c r="P69" s="20"/>
      <c r="Q69" s="20"/>
      <c r="R69" s="23">
        <v>0.33</v>
      </c>
      <c r="S69" s="20"/>
      <c r="T69" s="20"/>
      <c r="U69" s="23"/>
      <c r="V69" s="23"/>
      <c r="W69" s="20"/>
      <c r="X69" s="26"/>
      <c r="Y69" s="26"/>
      <c r="Z69" s="26"/>
      <c r="AA69" s="28"/>
      <c r="AB69" s="28"/>
      <c r="AC69" s="38"/>
      <c r="AD69" s="40"/>
      <c r="AE69" s="26"/>
    </row>
    <row r="70" spans="1:31">
      <c r="A70" s="16" t="s">
        <v>1080</v>
      </c>
      <c r="B70" s="32" t="s">
        <v>1390</v>
      </c>
      <c r="C70" s="32" t="s">
        <v>78</v>
      </c>
      <c r="D70" s="18"/>
      <c r="E70" s="20" t="s">
        <v>1359</v>
      </c>
      <c r="F70" s="20">
        <v>14</v>
      </c>
      <c r="G70" s="20"/>
      <c r="H70" s="20"/>
      <c r="I70" s="33"/>
      <c r="J70" s="20"/>
      <c r="K70" s="20"/>
      <c r="L70" s="20"/>
      <c r="M70" s="20"/>
      <c r="N70" s="20"/>
      <c r="O70" s="20"/>
      <c r="P70" s="20"/>
      <c r="Q70" s="20"/>
      <c r="R70" s="23">
        <v>0.33</v>
      </c>
      <c r="S70" s="20"/>
      <c r="T70" s="20"/>
      <c r="U70" s="23"/>
      <c r="V70" s="23"/>
      <c r="W70" s="20"/>
      <c r="X70" s="26"/>
      <c r="Y70" s="26"/>
      <c r="Z70" s="26"/>
      <c r="AA70" s="28"/>
      <c r="AB70" s="28"/>
      <c r="AC70" s="38"/>
      <c r="AD70" s="40"/>
      <c r="AE70" s="26"/>
    </row>
    <row r="71" spans="1:31">
      <c r="A71" s="16" t="s">
        <v>846</v>
      </c>
      <c r="B71" s="32" t="s">
        <v>1391</v>
      </c>
      <c r="C71" s="32" t="s">
        <v>825</v>
      </c>
      <c r="D71" s="18"/>
      <c r="E71" s="20"/>
      <c r="F71" s="20">
        <v>9</v>
      </c>
      <c r="G71" s="23">
        <v>0.24</v>
      </c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3"/>
      <c r="V71" s="23"/>
      <c r="W71" s="20"/>
      <c r="X71" s="26"/>
      <c r="Y71" s="26"/>
      <c r="Z71" s="26"/>
      <c r="AA71" s="28"/>
      <c r="AB71" s="28"/>
      <c r="AC71" s="38"/>
      <c r="AD71" s="40"/>
      <c r="AE71" s="26"/>
    </row>
    <row r="72" spans="1:31">
      <c r="A72" s="16" t="s">
        <v>848</v>
      </c>
      <c r="B72" s="32" t="s">
        <v>1391</v>
      </c>
      <c r="C72" s="32" t="s">
        <v>825</v>
      </c>
      <c r="D72" s="18"/>
      <c r="E72" s="20"/>
      <c r="F72" s="20">
        <v>10</v>
      </c>
      <c r="G72" s="20"/>
      <c r="H72" s="20"/>
      <c r="I72" s="23">
        <v>0.16</v>
      </c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3"/>
      <c r="V72" s="23"/>
      <c r="W72" s="20"/>
      <c r="X72" s="26"/>
      <c r="Y72" s="26"/>
      <c r="Z72" s="26"/>
      <c r="AA72" s="28"/>
      <c r="AB72" s="28"/>
      <c r="AC72" s="38"/>
      <c r="AD72" s="40"/>
      <c r="AE72" s="26"/>
    </row>
    <row r="73" spans="1:31">
      <c r="A73" s="16" t="s">
        <v>850</v>
      </c>
      <c r="B73" s="18" t="s">
        <v>1391</v>
      </c>
      <c r="C73" s="18" t="s">
        <v>825</v>
      </c>
      <c r="D73" s="18"/>
      <c r="E73" s="20"/>
      <c r="F73" s="20">
        <v>8</v>
      </c>
      <c r="G73" s="20"/>
      <c r="H73" s="20"/>
      <c r="I73" s="20"/>
      <c r="J73" s="23">
        <v>0.3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3"/>
      <c r="V73" s="23"/>
      <c r="W73" s="20"/>
      <c r="X73" s="26"/>
      <c r="Y73" s="26"/>
      <c r="Z73" s="26"/>
      <c r="AA73" s="28"/>
      <c r="AB73" s="28"/>
      <c r="AC73" s="28"/>
      <c r="AD73" s="29"/>
      <c r="AE73" s="26"/>
    </row>
    <row r="74" spans="1:31">
      <c r="A74" s="16" t="s">
        <v>852</v>
      </c>
      <c r="B74" s="18" t="s">
        <v>1391</v>
      </c>
      <c r="C74" s="18" t="s">
        <v>825</v>
      </c>
      <c r="D74" s="18"/>
      <c r="E74" s="20"/>
      <c r="F74" s="20">
        <v>11</v>
      </c>
      <c r="G74" s="20"/>
      <c r="H74" s="23">
        <v>0.2</v>
      </c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3"/>
      <c r="V74" s="23"/>
      <c r="W74" s="20"/>
      <c r="X74" s="26"/>
      <c r="Y74" s="26"/>
      <c r="Z74" s="26"/>
      <c r="AA74" s="28"/>
      <c r="AB74" s="28"/>
      <c r="AC74" s="28"/>
      <c r="AD74" s="29"/>
      <c r="AE74" s="26"/>
    </row>
    <row r="75" spans="1:31">
      <c r="A75" s="16" t="s">
        <v>854</v>
      </c>
      <c r="B75" s="18" t="s">
        <v>1391</v>
      </c>
      <c r="C75" s="18" t="s">
        <v>825</v>
      </c>
      <c r="D75" s="18"/>
      <c r="E75" s="20"/>
      <c r="F75" s="20">
        <v>15</v>
      </c>
      <c r="G75" s="20"/>
      <c r="H75" s="23"/>
      <c r="I75" s="23">
        <v>0.18</v>
      </c>
      <c r="J75" s="20"/>
      <c r="K75" s="20"/>
      <c r="L75" s="23">
        <v>-0.24</v>
      </c>
      <c r="M75" s="20"/>
      <c r="N75" s="20"/>
      <c r="O75" s="20"/>
      <c r="P75" s="20"/>
      <c r="Q75" s="20"/>
      <c r="R75" s="20"/>
      <c r="S75" s="20"/>
      <c r="T75" s="20"/>
      <c r="U75" s="23"/>
      <c r="V75" s="23"/>
      <c r="W75" s="20"/>
      <c r="X75" s="26"/>
      <c r="Y75" s="26"/>
      <c r="Z75" s="26"/>
      <c r="AA75" s="28"/>
      <c r="AB75" s="28"/>
      <c r="AC75" s="28"/>
      <c r="AD75" s="29"/>
      <c r="AE75" s="26"/>
    </row>
    <row r="76" spans="1:31">
      <c r="A76" s="16" t="s">
        <v>856</v>
      </c>
      <c r="B76" s="18" t="s">
        <v>1391</v>
      </c>
      <c r="C76" s="18" t="s">
        <v>825</v>
      </c>
      <c r="D76" s="18"/>
      <c r="E76" s="20"/>
      <c r="F76" s="20">
        <v>15</v>
      </c>
      <c r="G76" s="20"/>
      <c r="H76" s="23"/>
      <c r="I76" s="23">
        <v>0.18</v>
      </c>
      <c r="J76" s="20"/>
      <c r="K76" s="20"/>
      <c r="L76" s="20"/>
      <c r="M76" s="23">
        <v>-0.24</v>
      </c>
      <c r="N76" s="20"/>
      <c r="O76" s="20"/>
      <c r="P76" s="20"/>
      <c r="Q76" s="20"/>
      <c r="R76" s="20"/>
      <c r="S76" s="20"/>
      <c r="T76" s="20"/>
      <c r="U76" s="23"/>
      <c r="V76" s="23"/>
      <c r="W76" s="20"/>
      <c r="X76" s="26"/>
      <c r="Y76" s="26"/>
      <c r="Z76" s="26"/>
      <c r="AA76" s="28"/>
      <c r="AB76" s="28"/>
      <c r="AC76" s="28"/>
      <c r="AD76" s="29"/>
      <c r="AE76" s="26"/>
    </row>
    <row r="77" spans="1:31">
      <c r="A77" s="16" t="s">
        <v>858</v>
      </c>
      <c r="B77" s="18" t="s">
        <v>1391</v>
      </c>
      <c r="C77" s="18" t="s">
        <v>825</v>
      </c>
      <c r="D77" s="18"/>
      <c r="E77" s="20"/>
      <c r="F77" s="20">
        <v>15</v>
      </c>
      <c r="G77" s="20"/>
      <c r="H77" s="23"/>
      <c r="I77" s="20"/>
      <c r="J77" s="20"/>
      <c r="K77" s="20"/>
      <c r="L77" s="23">
        <v>-0.3</v>
      </c>
      <c r="M77" s="20"/>
      <c r="N77" s="20"/>
      <c r="O77" s="23">
        <v>0.48</v>
      </c>
      <c r="P77" s="20"/>
      <c r="Q77" s="20"/>
      <c r="R77" s="20"/>
      <c r="S77" s="20"/>
      <c r="T77" s="20"/>
      <c r="U77" s="23"/>
      <c r="V77" s="23"/>
      <c r="W77" s="20"/>
      <c r="X77" s="26"/>
      <c r="Y77" s="26"/>
      <c r="Z77" s="26"/>
      <c r="AA77" s="28"/>
      <c r="AB77" s="28"/>
      <c r="AC77" s="28"/>
      <c r="AD77" s="29"/>
      <c r="AE77" s="26"/>
    </row>
    <row r="78" spans="1:31">
      <c r="A78" s="16" t="s">
        <v>860</v>
      </c>
      <c r="B78" s="18" t="s">
        <v>1391</v>
      </c>
      <c r="C78" s="18" t="s">
        <v>825</v>
      </c>
      <c r="D78" s="18"/>
      <c r="E78" s="20"/>
      <c r="F78" s="20">
        <v>15</v>
      </c>
      <c r="G78" s="20"/>
      <c r="H78" s="23"/>
      <c r="I78" s="20"/>
      <c r="J78" s="20"/>
      <c r="K78" s="20"/>
      <c r="L78" s="20"/>
      <c r="M78" s="23">
        <v>-0.3</v>
      </c>
      <c r="N78" s="20"/>
      <c r="O78" s="23">
        <v>0.48</v>
      </c>
      <c r="P78" s="20"/>
      <c r="Q78" s="20"/>
      <c r="R78" s="20"/>
      <c r="S78" s="20"/>
      <c r="T78" s="20"/>
      <c r="U78" s="23"/>
      <c r="V78" s="23"/>
      <c r="W78" s="20"/>
      <c r="X78" s="26"/>
      <c r="Y78" s="26"/>
      <c r="Z78" s="26"/>
      <c r="AA78" s="28"/>
      <c r="AB78" s="28"/>
      <c r="AC78" s="28"/>
      <c r="AD78" s="29"/>
      <c r="AE78" s="26"/>
    </row>
    <row r="79" spans="1:31">
      <c r="A79" s="16" t="s">
        <v>778</v>
      </c>
      <c r="B79" s="18" t="s">
        <v>1350</v>
      </c>
      <c r="C79" s="18" t="s">
        <v>825</v>
      </c>
      <c r="D79" s="18"/>
      <c r="E79" s="20"/>
      <c r="F79" s="20">
        <v>13</v>
      </c>
      <c r="G79" s="20"/>
      <c r="H79" s="23">
        <v>0.3</v>
      </c>
      <c r="I79" s="20"/>
      <c r="J79" s="20"/>
      <c r="K79" s="20"/>
      <c r="L79" s="20"/>
      <c r="M79" s="20"/>
      <c r="N79" s="20"/>
      <c r="O79" s="23">
        <v>0.3</v>
      </c>
      <c r="P79" s="20"/>
      <c r="Q79" s="20"/>
      <c r="R79" s="20"/>
      <c r="S79" s="20"/>
      <c r="T79" s="20"/>
      <c r="U79" s="23"/>
      <c r="V79" s="23"/>
      <c r="W79" s="20"/>
      <c r="X79" s="26"/>
      <c r="Y79" s="26"/>
      <c r="Z79" s="26"/>
      <c r="AA79" s="28"/>
      <c r="AB79" s="28"/>
      <c r="AC79" s="28"/>
      <c r="AD79" s="29"/>
      <c r="AE79" s="26"/>
    </row>
    <row r="80" spans="1:31">
      <c r="A80" s="16" t="s">
        <v>781</v>
      </c>
      <c r="B80" s="18" t="s">
        <v>1350</v>
      </c>
      <c r="C80" s="18" t="s">
        <v>825</v>
      </c>
      <c r="D80" s="18"/>
      <c r="E80" s="20"/>
      <c r="F80" s="20">
        <v>10</v>
      </c>
      <c r="G80" s="20"/>
      <c r="H80" s="20"/>
      <c r="I80" s="20"/>
      <c r="J80" s="20"/>
      <c r="K80" s="20"/>
      <c r="L80" s="23">
        <v>0.3</v>
      </c>
      <c r="M80" s="23">
        <v>0.3</v>
      </c>
      <c r="N80" s="20"/>
      <c r="O80" s="20"/>
      <c r="P80" s="20"/>
      <c r="Q80" s="20"/>
      <c r="R80" s="20"/>
      <c r="S80" s="20"/>
      <c r="T80" s="20"/>
      <c r="U80" s="23"/>
      <c r="V80" s="23"/>
      <c r="W80" s="20"/>
      <c r="X80" s="26"/>
      <c r="Y80" s="26"/>
      <c r="Z80" s="26"/>
      <c r="AA80" s="28"/>
      <c r="AB80" s="28"/>
      <c r="AC80" s="28"/>
      <c r="AD80" s="29"/>
      <c r="AE80" s="26"/>
    </row>
    <row r="81" spans="1:31">
      <c r="A81" s="16" t="s">
        <v>28</v>
      </c>
      <c r="B81" s="18" t="s">
        <v>1350</v>
      </c>
      <c r="C81" s="18" t="s">
        <v>825</v>
      </c>
      <c r="D81" s="18"/>
      <c r="E81" s="20"/>
      <c r="F81" s="20">
        <v>10</v>
      </c>
      <c r="G81" s="20"/>
      <c r="H81" s="20"/>
      <c r="I81" s="20"/>
      <c r="J81" s="20"/>
      <c r="K81" s="23">
        <v>0.3</v>
      </c>
      <c r="L81" s="23">
        <v>0.3</v>
      </c>
      <c r="M81" s="20"/>
      <c r="N81" s="20"/>
      <c r="O81" s="20"/>
      <c r="P81" s="20"/>
      <c r="Q81" s="20"/>
      <c r="R81" s="20"/>
      <c r="S81" s="20"/>
      <c r="T81" s="20"/>
      <c r="U81" s="23"/>
      <c r="V81" s="23"/>
      <c r="W81" s="20"/>
      <c r="X81" s="26"/>
      <c r="Y81" s="26"/>
      <c r="Z81" s="26"/>
      <c r="AA81" s="28"/>
      <c r="AB81" s="28"/>
      <c r="AC81" s="28"/>
      <c r="AD81" s="29"/>
      <c r="AE81" s="26"/>
    </row>
    <row r="82" spans="1:31">
      <c r="A82" s="31" t="s">
        <v>833</v>
      </c>
      <c r="B82" s="18" t="s">
        <v>1350</v>
      </c>
      <c r="C82" s="18" t="s">
        <v>825</v>
      </c>
      <c r="D82" s="18"/>
      <c r="E82" s="33"/>
      <c r="F82" s="33">
        <v>10</v>
      </c>
      <c r="G82" s="33"/>
      <c r="H82" s="33"/>
      <c r="I82" s="33"/>
      <c r="J82" s="33"/>
      <c r="K82" s="35">
        <v>0.3</v>
      </c>
      <c r="L82" s="33"/>
      <c r="M82" s="35">
        <v>0.3</v>
      </c>
      <c r="N82" s="33"/>
      <c r="O82" s="33"/>
      <c r="P82" s="33"/>
      <c r="Q82" s="33"/>
      <c r="R82" s="33"/>
      <c r="S82" s="33"/>
      <c r="T82" s="33"/>
      <c r="U82" s="35"/>
      <c r="V82" s="35"/>
      <c r="W82" s="33"/>
      <c r="X82" s="37"/>
      <c r="Y82" s="37"/>
      <c r="Z82" s="37"/>
      <c r="AA82" s="38"/>
      <c r="AB82" s="38"/>
      <c r="AC82" s="38"/>
      <c r="AD82" s="40"/>
      <c r="AE82" s="37"/>
    </row>
    <row r="83" spans="1:31">
      <c r="A83" s="31" t="s">
        <v>15</v>
      </c>
      <c r="B83" s="32" t="s">
        <v>1350</v>
      </c>
      <c r="C83" s="32" t="s">
        <v>825</v>
      </c>
      <c r="D83" s="18"/>
      <c r="E83" s="33"/>
      <c r="F83" s="33">
        <v>10</v>
      </c>
      <c r="G83" s="33"/>
      <c r="H83" s="33"/>
      <c r="I83" s="33"/>
      <c r="J83" s="33"/>
      <c r="K83" s="35">
        <v>0.3</v>
      </c>
      <c r="L83" s="33"/>
      <c r="M83" s="33"/>
      <c r="N83" s="35">
        <v>0.3</v>
      </c>
      <c r="O83" s="33"/>
      <c r="P83" s="33"/>
      <c r="Q83" s="33"/>
      <c r="R83" s="33"/>
      <c r="S83" s="33"/>
      <c r="T83" s="33"/>
      <c r="U83" s="35"/>
      <c r="V83" s="35"/>
      <c r="W83" s="33"/>
      <c r="X83" s="37"/>
      <c r="Y83" s="37"/>
      <c r="Z83" s="37"/>
      <c r="AA83" s="38"/>
      <c r="AB83" s="38"/>
      <c r="AC83" s="38"/>
      <c r="AD83" s="40"/>
      <c r="AE83" s="37"/>
    </row>
    <row r="84" spans="1:31">
      <c r="A84" s="16" t="s">
        <v>836</v>
      </c>
      <c r="B84" s="32" t="s">
        <v>1350</v>
      </c>
      <c r="C84" s="32" t="s">
        <v>825</v>
      </c>
      <c r="D84" s="18"/>
      <c r="E84" s="33"/>
      <c r="F84" s="33">
        <v>13</v>
      </c>
      <c r="G84" s="20"/>
      <c r="H84" s="20"/>
      <c r="I84" s="20"/>
      <c r="J84" s="20"/>
      <c r="K84" s="20"/>
      <c r="L84" s="23">
        <v>0.3</v>
      </c>
      <c r="M84" s="20"/>
      <c r="N84" s="20"/>
      <c r="O84" s="23">
        <v>0.3</v>
      </c>
      <c r="P84" s="20"/>
      <c r="Q84" s="20"/>
      <c r="R84" s="33"/>
      <c r="S84" s="20"/>
      <c r="T84" s="20"/>
      <c r="U84" s="23"/>
      <c r="V84" s="23"/>
      <c r="W84" s="20"/>
      <c r="X84" s="26"/>
      <c r="Y84" s="26"/>
      <c r="Z84" s="26"/>
      <c r="AA84" s="28"/>
      <c r="AB84" s="28"/>
      <c r="AC84" s="38"/>
      <c r="AD84" s="40"/>
      <c r="AE84" s="26"/>
    </row>
    <row r="85" spans="1:31">
      <c r="A85" s="19" t="s">
        <v>838</v>
      </c>
      <c r="B85" s="32" t="s">
        <v>1350</v>
      </c>
      <c r="C85" s="32" t="s">
        <v>825</v>
      </c>
      <c r="D85" s="18"/>
      <c r="E85" s="33"/>
      <c r="F85" s="33">
        <v>10</v>
      </c>
      <c r="G85" s="20"/>
      <c r="H85" s="20"/>
      <c r="I85" s="20"/>
      <c r="J85" s="20"/>
      <c r="K85" s="20"/>
      <c r="L85" s="23">
        <v>0.3</v>
      </c>
      <c r="M85" s="20"/>
      <c r="N85" s="23">
        <v>0.3</v>
      </c>
      <c r="O85" s="20"/>
      <c r="P85" s="20"/>
      <c r="Q85" s="20"/>
      <c r="R85" s="33"/>
      <c r="S85" s="20"/>
      <c r="T85" s="20"/>
      <c r="U85" s="23"/>
      <c r="V85" s="23"/>
      <c r="W85" s="20"/>
      <c r="X85" s="26"/>
      <c r="Y85" s="26"/>
      <c r="Z85" s="26"/>
      <c r="AA85" s="28"/>
      <c r="AB85" s="28"/>
      <c r="AC85" s="38"/>
      <c r="AD85" s="40"/>
      <c r="AE85" s="26"/>
    </row>
    <row r="86" spans="1:31">
      <c r="A86" s="16" t="s">
        <v>840</v>
      </c>
      <c r="B86" s="32" t="s">
        <v>1350</v>
      </c>
      <c r="C86" s="32" t="s">
        <v>825</v>
      </c>
      <c r="D86" s="18"/>
      <c r="E86" s="33"/>
      <c r="F86" s="33">
        <v>13</v>
      </c>
      <c r="G86" s="20"/>
      <c r="H86" s="20"/>
      <c r="I86" s="20"/>
      <c r="J86" s="20"/>
      <c r="K86" s="20"/>
      <c r="L86" s="20"/>
      <c r="M86" s="23">
        <v>0.3</v>
      </c>
      <c r="N86" s="20"/>
      <c r="O86" s="23">
        <v>0.3</v>
      </c>
      <c r="P86" s="20"/>
      <c r="Q86" s="20"/>
      <c r="R86" s="33"/>
      <c r="S86" s="20"/>
      <c r="T86" s="20"/>
      <c r="U86" s="23"/>
      <c r="V86" s="23"/>
      <c r="W86" s="20"/>
      <c r="X86" s="26"/>
      <c r="Y86" s="26"/>
      <c r="Z86" s="26"/>
      <c r="AA86" s="28"/>
      <c r="AB86" s="28"/>
      <c r="AC86" s="38"/>
      <c r="AD86" s="40"/>
      <c r="AE86" s="26"/>
    </row>
    <row r="87" spans="1:31">
      <c r="A87" s="16" t="s">
        <v>842</v>
      </c>
      <c r="B87" s="32" t="s">
        <v>1350</v>
      </c>
      <c r="C87" s="32" t="s">
        <v>825</v>
      </c>
      <c r="D87" s="18"/>
      <c r="E87" s="33"/>
      <c r="F87" s="33">
        <v>10</v>
      </c>
      <c r="G87" s="20"/>
      <c r="H87" s="20"/>
      <c r="I87" s="20"/>
      <c r="J87" s="20"/>
      <c r="K87" s="20"/>
      <c r="L87" s="20"/>
      <c r="M87" s="23">
        <v>0.3</v>
      </c>
      <c r="N87" s="23">
        <v>0.3</v>
      </c>
      <c r="O87" s="20"/>
      <c r="P87" s="20"/>
      <c r="Q87" s="20"/>
      <c r="R87" s="33"/>
      <c r="S87" s="20"/>
      <c r="T87" s="20"/>
      <c r="U87" s="23"/>
      <c r="V87" s="23"/>
      <c r="W87" s="20"/>
      <c r="X87" s="26"/>
      <c r="Y87" s="26"/>
      <c r="Z87" s="26"/>
      <c r="AA87" s="28"/>
      <c r="AB87" s="28"/>
      <c r="AC87" s="38"/>
      <c r="AD87" s="40"/>
      <c r="AE87" s="26"/>
    </row>
    <row r="88" spans="1:31">
      <c r="A88" s="16" t="s">
        <v>844</v>
      </c>
      <c r="B88" s="32" t="s">
        <v>1350</v>
      </c>
      <c r="C88" s="32" t="s">
        <v>825</v>
      </c>
      <c r="D88" s="18"/>
      <c r="E88" s="33"/>
      <c r="F88" s="33">
        <v>13</v>
      </c>
      <c r="G88" s="20"/>
      <c r="H88" s="20"/>
      <c r="I88" s="20"/>
      <c r="J88" s="20"/>
      <c r="K88" s="20"/>
      <c r="L88" s="20"/>
      <c r="M88" s="20"/>
      <c r="N88" s="23">
        <v>0.3</v>
      </c>
      <c r="O88" s="23">
        <v>0.3</v>
      </c>
      <c r="P88" s="20"/>
      <c r="Q88" s="20"/>
      <c r="R88" s="33"/>
      <c r="S88" s="20"/>
      <c r="T88" s="20"/>
      <c r="U88" s="23"/>
      <c r="V88" s="23"/>
      <c r="W88" s="20"/>
      <c r="X88" s="26"/>
      <c r="Y88" s="26"/>
      <c r="Z88" s="26"/>
      <c r="AA88" s="28"/>
      <c r="AB88" s="28"/>
      <c r="AC88" s="38"/>
      <c r="AD88" s="40"/>
      <c r="AE88" s="26"/>
    </row>
    <row r="89" spans="1:31">
      <c r="A89" s="16" t="s">
        <v>884</v>
      </c>
      <c r="B89" s="32" t="s">
        <v>1392</v>
      </c>
      <c r="C89" s="32" t="s">
        <v>825</v>
      </c>
      <c r="D89" s="18"/>
      <c r="E89" s="33" t="s">
        <v>1352</v>
      </c>
      <c r="F89" s="33">
        <v>7</v>
      </c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33"/>
      <c r="S89" s="20"/>
      <c r="T89" s="20"/>
      <c r="U89" s="23"/>
      <c r="V89" s="23"/>
      <c r="W89" s="20"/>
      <c r="X89" s="26"/>
      <c r="Y89" s="26"/>
      <c r="Z89" s="26"/>
      <c r="AA89" s="28"/>
      <c r="AB89" s="28"/>
      <c r="AC89" s="38"/>
      <c r="AD89" s="40"/>
      <c r="AE89" s="26"/>
    </row>
    <row r="90" spans="1:31">
      <c r="A90" s="16" t="s">
        <v>882</v>
      </c>
      <c r="B90" s="32" t="s">
        <v>1392</v>
      </c>
      <c r="C90" s="32" t="s">
        <v>825</v>
      </c>
      <c r="D90" s="18"/>
      <c r="E90" s="33" t="s">
        <v>1352</v>
      </c>
      <c r="F90" s="33">
        <v>7</v>
      </c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33"/>
      <c r="S90" s="20"/>
      <c r="T90" s="20"/>
      <c r="U90" s="23"/>
      <c r="V90" s="23"/>
      <c r="W90" s="20"/>
      <c r="X90" s="26"/>
      <c r="Y90" s="26"/>
      <c r="Z90" s="26"/>
      <c r="AA90" s="28"/>
      <c r="AB90" s="28"/>
      <c r="AC90" s="38"/>
      <c r="AD90" s="40"/>
      <c r="AE90" s="26"/>
    </row>
    <row r="91" spans="1:31">
      <c r="A91" s="16" t="s">
        <v>886</v>
      </c>
      <c r="B91" s="32" t="s">
        <v>1392</v>
      </c>
      <c r="C91" s="32" t="s">
        <v>825</v>
      </c>
      <c r="D91" s="18"/>
      <c r="E91" s="33" t="s">
        <v>1352</v>
      </c>
      <c r="F91" s="33">
        <v>7</v>
      </c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33"/>
      <c r="S91" s="20"/>
      <c r="T91" s="20"/>
      <c r="U91" s="23"/>
      <c r="V91" s="23"/>
      <c r="W91" s="20"/>
      <c r="X91" s="26"/>
      <c r="Y91" s="26"/>
      <c r="Z91" s="26"/>
      <c r="AA91" s="28"/>
      <c r="AB91" s="28"/>
      <c r="AC91" s="38"/>
      <c r="AD91" s="40"/>
      <c r="AE91" s="26"/>
    </row>
    <row r="92" spans="1:31">
      <c r="A92" s="16" t="s">
        <v>462</v>
      </c>
      <c r="B92" s="32" t="s">
        <v>1392</v>
      </c>
      <c r="C92" s="32" t="s">
        <v>825</v>
      </c>
      <c r="D92" s="18"/>
      <c r="E92" s="33" t="s">
        <v>1352</v>
      </c>
      <c r="F92" s="33">
        <v>7</v>
      </c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33"/>
      <c r="S92" s="20"/>
      <c r="T92" s="20"/>
      <c r="U92" s="23"/>
      <c r="V92" s="23"/>
      <c r="W92" s="20"/>
      <c r="X92" s="26"/>
      <c r="Y92" s="26"/>
      <c r="Z92" s="26"/>
      <c r="AA92" s="28"/>
      <c r="AB92" s="28"/>
      <c r="AC92" s="38"/>
      <c r="AD92" s="40"/>
      <c r="AE92" s="26"/>
    </row>
    <row r="93" spans="1:31">
      <c r="A93" s="16" t="s">
        <v>900</v>
      </c>
      <c r="B93" s="32" t="s">
        <v>1392</v>
      </c>
      <c r="C93" s="32" t="s">
        <v>825</v>
      </c>
      <c r="D93" s="18"/>
      <c r="E93" s="33" t="s">
        <v>1352</v>
      </c>
      <c r="F93" s="33">
        <v>7</v>
      </c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33"/>
      <c r="S93" s="20"/>
      <c r="T93" s="20"/>
      <c r="U93" s="23"/>
      <c r="V93" s="23"/>
      <c r="W93" s="20"/>
      <c r="X93" s="26"/>
      <c r="Y93" s="26"/>
      <c r="Z93" s="26"/>
      <c r="AA93" s="28"/>
      <c r="AB93" s="28"/>
      <c r="AC93" s="38"/>
      <c r="AD93" s="40"/>
      <c r="AE93" s="26"/>
    </row>
    <row r="94" spans="1:31">
      <c r="A94" s="16" t="s">
        <v>890</v>
      </c>
      <c r="B94" s="32" t="s">
        <v>1392</v>
      </c>
      <c r="C94" s="32" t="s">
        <v>825</v>
      </c>
      <c r="D94" s="18"/>
      <c r="E94" s="33" t="s">
        <v>1352</v>
      </c>
      <c r="F94" s="33">
        <v>7</v>
      </c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33"/>
      <c r="S94" s="20"/>
      <c r="T94" s="20"/>
      <c r="U94" s="23"/>
      <c r="V94" s="23"/>
      <c r="W94" s="20"/>
      <c r="X94" s="26"/>
      <c r="Y94" s="26"/>
      <c r="Z94" s="26"/>
      <c r="AA94" s="28"/>
      <c r="AB94" s="28"/>
      <c r="AC94" s="38"/>
      <c r="AD94" s="40"/>
      <c r="AE94" s="26"/>
    </row>
    <row r="95" spans="1:31">
      <c r="A95" s="31" t="s">
        <v>892</v>
      </c>
      <c r="B95" s="32" t="s">
        <v>1392</v>
      </c>
      <c r="C95" s="32" t="s">
        <v>825</v>
      </c>
      <c r="D95" s="32"/>
      <c r="E95" s="33" t="s">
        <v>1352</v>
      </c>
      <c r="F95" s="33">
        <v>7</v>
      </c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5"/>
      <c r="V95" s="35"/>
      <c r="W95" s="33"/>
      <c r="X95" s="37"/>
      <c r="Y95" s="37"/>
      <c r="Z95" s="37"/>
      <c r="AA95" s="38"/>
      <c r="AB95" s="38"/>
      <c r="AC95" s="38"/>
      <c r="AD95" s="40"/>
      <c r="AE95" s="37"/>
    </row>
    <row r="96" spans="1:31">
      <c r="A96" s="16" t="s">
        <v>88</v>
      </c>
      <c r="B96" s="32" t="s">
        <v>1392</v>
      </c>
      <c r="C96" s="32" t="s">
        <v>825</v>
      </c>
      <c r="D96" s="32"/>
      <c r="E96" s="33" t="s">
        <v>1352</v>
      </c>
      <c r="F96" s="33">
        <v>7</v>
      </c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3"/>
      <c r="V96" s="23"/>
      <c r="W96" s="20"/>
      <c r="X96" s="26"/>
      <c r="Y96" s="26"/>
      <c r="Z96" s="26"/>
      <c r="AA96" s="28"/>
      <c r="AB96" s="28"/>
      <c r="AC96" s="36"/>
      <c r="AD96" s="42"/>
      <c r="AE96" s="26"/>
    </row>
    <row r="97" spans="1:31">
      <c r="A97" s="16" t="s">
        <v>895</v>
      </c>
      <c r="B97" s="32" t="s">
        <v>1392</v>
      </c>
      <c r="C97" s="32" t="s">
        <v>825</v>
      </c>
      <c r="D97" s="32"/>
      <c r="E97" s="33" t="s">
        <v>1352</v>
      </c>
      <c r="F97" s="33">
        <v>7</v>
      </c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3"/>
      <c r="V97" s="23"/>
      <c r="W97" s="20"/>
      <c r="X97" s="26"/>
      <c r="Y97" s="26"/>
      <c r="Z97" s="26"/>
      <c r="AA97" s="28"/>
      <c r="AB97" s="28"/>
      <c r="AC97" s="36"/>
      <c r="AD97" s="42"/>
      <c r="AE97" s="26"/>
    </row>
    <row r="98" spans="1:31">
      <c r="A98" s="16" t="s">
        <v>888</v>
      </c>
      <c r="B98" s="32" t="s">
        <v>1392</v>
      </c>
      <c r="C98" s="32" t="s">
        <v>825</v>
      </c>
      <c r="D98" s="32"/>
      <c r="E98" s="33" t="s">
        <v>1352</v>
      </c>
      <c r="F98" s="33">
        <v>7</v>
      </c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3"/>
      <c r="V98" s="23"/>
      <c r="W98" s="20"/>
      <c r="X98" s="26"/>
      <c r="Y98" s="26"/>
      <c r="Z98" s="26"/>
      <c r="AA98" s="28"/>
      <c r="AB98" s="28"/>
      <c r="AC98" s="36"/>
      <c r="AD98" s="42"/>
      <c r="AE98" s="26"/>
    </row>
    <row r="99" spans="1:31">
      <c r="A99" s="16" t="s">
        <v>898</v>
      </c>
      <c r="B99" s="32" t="s">
        <v>1392</v>
      </c>
      <c r="C99" s="32" t="s">
        <v>825</v>
      </c>
      <c r="D99" s="32"/>
      <c r="E99" s="33" t="s">
        <v>1352</v>
      </c>
      <c r="F99" s="33">
        <v>7</v>
      </c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3"/>
      <c r="V99" s="23"/>
      <c r="W99" s="20"/>
      <c r="X99" s="26"/>
      <c r="Y99" s="26"/>
      <c r="Z99" s="26"/>
      <c r="AA99" s="28"/>
      <c r="AB99" s="28"/>
      <c r="AC99" s="36"/>
      <c r="AD99" s="42"/>
      <c r="AE99" s="26"/>
    </row>
    <row r="100" spans="1:31">
      <c r="A100" s="43" t="s">
        <v>864</v>
      </c>
      <c r="B100" s="33" t="s">
        <v>1351</v>
      </c>
      <c r="C100" s="44" t="s">
        <v>825</v>
      </c>
      <c r="D100" s="44" t="s">
        <v>79</v>
      </c>
      <c r="E100" s="33"/>
      <c r="F100" s="33">
        <v>15</v>
      </c>
      <c r="G100" s="23">
        <v>0.18</v>
      </c>
      <c r="H100" s="20"/>
      <c r="I100" s="20"/>
      <c r="J100" s="20"/>
      <c r="K100" s="20"/>
      <c r="L100" s="20"/>
      <c r="M100" s="20"/>
      <c r="N100" s="20"/>
      <c r="O100" s="20"/>
      <c r="P100" s="23">
        <v>0.18</v>
      </c>
      <c r="Q100" s="20"/>
      <c r="R100" s="20"/>
      <c r="S100" s="20"/>
      <c r="T100" s="20"/>
      <c r="U100" s="23"/>
      <c r="V100" s="23"/>
      <c r="W100" s="20"/>
      <c r="X100" s="26"/>
      <c r="Y100" s="26"/>
      <c r="Z100" s="26"/>
      <c r="AA100" s="28"/>
      <c r="AB100" s="28"/>
      <c r="AC100" s="36"/>
      <c r="AD100" s="42"/>
      <c r="AE100" s="26"/>
    </row>
    <row r="101" spans="1:31">
      <c r="A101" s="43" t="s">
        <v>866</v>
      </c>
      <c r="B101" s="33" t="s">
        <v>1351</v>
      </c>
      <c r="C101" s="44" t="s">
        <v>825</v>
      </c>
      <c r="D101" s="44" t="s">
        <v>23</v>
      </c>
      <c r="E101" s="33"/>
      <c r="F101" s="33">
        <v>15</v>
      </c>
      <c r="G101" s="23">
        <v>0.18</v>
      </c>
      <c r="H101" s="20"/>
      <c r="I101" s="20"/>
      <c r="J101" s="20"/>
      <c r="K101" s="20"/>
      <c r="L101" s="20"/>
      <c r="M101" s="20"/>
      <c r="N101" s="20"/>
      <c r="O101" s="20"/>
      <c r="P101" s="23">
        <v>0.18</v>
      </c>
      <c r="Q101" s="20"/>
      <c r="R101" s="20"/>
      <c r="S101" s="20"/>
      <c r="T101" s="20"/>
      <c r="U101" s="23"/>
      <c r="V101" s="23"/>
      <c r="W101" s="20"/>
      <c r="X101" s="26"/>
      <c r="Y101" s="26"/>
      <c r="Z101" s="26"/>
      <c r="AA101" s="28"/>
      <c r="AB101" s="28"/>
      <c r="AC101" s="36"/>
      <c r="AD101" s="42"/>
      <c r="AE101" s="26"/>
    </row>
    <row r="102" spans="1:31">
      <c r="A102" s="43" t="s">
        <v>868</v>
      </c>
      <c r="B102" s="33" t="s">
        <v>1351</v>
      </c>
      <c r="C102" s="44" t="s">
        <v>825</v>
      </c>
      <c r="D102" s="44" t="s">
        <v>37</v>
      </c>
      <c r="E102" s="33"/>
      <c r="F102" s="33">
        <v>15</v>
      </c>
      <c r="G102" s="23">
        <v>0.18</v>
      </c>
      <c r="H102" s="20"/>
      <c r="I102" s="20"/>
      <c r="J102" s="20"/>
      <c r="K102" s="20"/>
      <c r="L102" s="20"/>
      <c r="M102" s="20"/>
      <c r="N102" s="20"/>
      <c r="O102" s="20"/>
      <c r="P102" s="23">
        <v>0.18</v>
      </c>
      <c r="Q102" s="20"/>
      <c r="R102" s="20"/>
      <c r="S102" s="20"/>
      <c r="T102" s="20"/>
      <c r="U102" s="23"/>
      <c r="V102" s="23"/>
      <c r="W102" s="20"/>
      <c r="X102" s="26"/>
      <c r="Y102" s="26"/>
      <c r="Z102" s="26"/>
      <c r="AA102" s="28"/>
      <c r="AB102" s="28"/>
      <c r="AC102" s="36"/>
      <c r="AD102" s="42"/>
      <c r="AE102" s="26"/>
    </row>
    <row r="103" spans="1:31">
      <c r="A103" s="43" t="s">
        <v>870</v>
      </c>
      <c r="B103" s="33" t="s">
        <v>1351</v>
      </c>
      <c r="C103" s="44" t="s">
        <v>825</v>
      </c>
      <c r="D103" s="44" t="s">
        <v>10</v>
      </c>
      <c r="E103" s="33"/>
      <c r="F103" s="33">
        <v>15</v>
      </c>
      <c r="G103" s="23">
        <v>0.18</v>
      </c>
      <c r="H103" s="20"/>
      <c r="I103" s="20"/>
      <c r="J103" s="20"/>
      <c r="K103" s="20"/>
      <c r="L103" s="20"/>
      <c r="M103" s="20"/>
      <c r="N103" s="20"/>
      <c r="O103" s="20"/>
      <c r="P103" s="23">
        <v>0.18</v>
      </c>
      <c r="Q103" s="20"/>
      <c r="R103" s="20"/>
      <c r="S103" s="20"/>
      <c r="T103" s="20"/>
      <c r="U103" s="23"/>
      <c r="V103" s="23"/>
      <c r="W103" s="20"/>
      <c r="X103" s="26"/>
      <c r="Y103" s="26"/>
      <c r="Z103" s="26"/>
      <c r="AA103" s="28"/>
      <c r="AB103" s="28"/>
      <c r="AC103" s="36"/>
      <c r="AD103" s="42"/>
      <c r="AE103" s="26"/>
    </row>
    <row r="104" spans="1:31">
      <c r="A104" s="43" t="s">
        <v>872</v>
      </c>
      <c r="B104" s="33" t="s">
        <v>1351</v>
      </c>
      <c r="C104" s="44" t="s">
        <v>825</v>
      </c>
      <c r="D104" s="44" t="s">
        <v>43</v>
      </c>
      <c r="E104" s="33"/>
      <c r="F104" s="33">
        <v>15</v>
      </c>
      <c r="G104" s="23">
        <v>0.18</v>
      </c>
      <c r="H104" s="20"/>
      <c r="I104" s="20"/>
      <c r="J104" s="20"/>
      <c r="K104" s="20"/>
      <c r="L104" s="20"/>
      <c r="M104" s="20"/>
      <c r="N104" s="20"/>
      <c r="O104" s="20"/>
      <c r="P104" s="23">
        <v>0.18</v>
      </c>
      <c r="Q104" s="20"/>
      <c r="R104" s="20"/>
      <c r="S104" s="20"/>
      <c r="T104" s="20"/>
      <c r="U104" s="23"/>
      <c r="V104" s="23"/>
      <c r="W104" s="20"/>
      <c r="X104" s="26"/>
      <c r="Y104" s="26"/>
      <c r="Z104" s="26"/>
      <c r="AA104" s="28"/>
      <c r="AB104" s="28"/>
      <c r="AC104" s="36"/>
      <c r="AD104" s="42"/>
      <c r="AE104" s="26"/>
    </row>
    <row r="105" spans="1:31">
      <c r="A105" s="45" t="s">
        <v>874</v>
      </c>
      <c r="B105" s="33" t="s">
        <v>1351</v>
      </c>
      <c r="C105" s="44" t="s">
        <v>825</v>
      </c>
      <c r="D105" s="44" t="s">
        <v>72</v>
      </c>
      <c r="E105" s="33"/>
      <c r="F105" s="33">
        <v>15</v>
      </c>
      <c r="G105" s="35">
        <v>0.18</v>
      </c>
      <c r="H105" s="33"/>
      <c r="I105" s="33"/>
      <c r="J105" s="33"/>
      <c r="K105" s="33"/>
      <c r="L105" s="33"/>
      <c r="M105" s="33"/>
      <c r="N105" s="33"/>
      <c r="O105" s="33"/>
      <c r="P105" s="35">
        <v>0.18</v>
      </c>
      <c r="Q105" s="33"/>
      <c r="R105" s="33"/>
      <c r="S105" s="33"/>
      <c r="T105" s="33"/>
      <c r="U105" s="35"/>
      <c r="V105" s="35"/>
      <c r="W105" s="33"/>
      <c r="X105" s="37"/>
      <c r="Y105" s="37"/>
      <c r="Z105" s="37"/>
      <c r="AA105" s="38"/>
      <c r="AB105" s="38"/>
      <c r="AC105" s="36"/>
      <c r="AD105" s="42"/>
      <c r="AE105" s="37"/>
    </row>
    <row r="106" spans="1:31">
      <c r="A106" s="16" t="s">
        <v>702</v>
      </c>
      <c r="B106" s="17" t="s">
        <v>1350</v>
      </c>
      <c r="C106" s="17" t="s">
        <v>825</v>
      </c>
      <c r="D106" s="18"/>
      <c r="E106" s="20"/>
      <c r="F106" s="20">
        <v>10</v>
      </c>
      <c r="G106" s="20"/>
      <c r="H106" s="20"/>
      <c r="I106" s="20"/>
      <c r="J106" s="20"/>
      <c r="K106" s="23">
        <v>0.6</v>
      </c>
      <c r="L106" s="20"/>
      <c r="M106" s="20"/>
      <c r="N106" s="20"/>
      <c r="O106" s="20"/>
      <c r="P106" s="20"/>
      <c r="Q106" s="20"/>
      <c r="R106" s="20"/>
      <c r="S106" s="20"/>
      <c r="T106" s="20"/>
      <c r="U106" s="23"/>
      <c r="V106" s="23"/>
      <c r="W106" s="20"/>
      <c r="X106" s="26"/>
      <c r="Y106" s="26"/>
      <c r="Z106" s="26"/>
      <c r="AA106" s="28"/>
      <c r="AB106" s="28"/>
      <c r="AC106" s="38"/>
      <c r="AD106" s="48"/>
      <c r="AE106" s="26"/>
    </row>
    <row r="107" spans="1:31">
      <c r="A107" s="19" t="s">
        <v>705</v>
      </c>
      <c r="B107" s="17" t="s">
        <v>1350</v>
      </c>
      <c r="C107" s="17" t="s">
        <v>825</v>
      </c>
      <c r="D107" s="18"/>
      <c r="E107" s="20"/>
      <c r="F107" s="20">
        <v>10</v>
      </c>
      <c r="G107" s="20"/>
      <c r="H107" s="20"/>
      <c r="I107" s="20"/>
      <c r="J107" s="20"/>
      <c r="K107" s="20"/>
      <c r="L107" s="23">
        <v>0.6</v>
      </c>
      <c r="M107" s="20"/>
      <c r="N107" s="20"/>
      <c r="O107" s="20"/>
      <c r="P107" s="20"/>
      <c r="Q107" s="20"/>
      <c r="R107" s="20"/>
      <c r="S107" s="20"/>
      <c r="T107" s="20"/>
      <c r="U107" s="23"/>
      <c r="V107" s="23"/>
      <c r="W107" s="20"/>
      <c r="X107" s="26"/>
      <c r="Y107" s="26"/>
      <c r="Z107" s="26"/>
      <c r="AA107" s="28"/>
      <c r="AB107" s="28"/>
      <c r="AC107" s="38"/>
      <c r="AD107" s="48"/>
      <c r="AE107" s="26"/>
    </row>
    <row r="108" spans="1:31">
      <c r="A108" s="16" t="s">
        <v>707</v>
      </c>
      <c r="B108" s="17" t="s">
        <v>1350</v>
      </c>
      <c r="C108" s="17" t="s">
        <v>825</v>
      </c>
      <c r="D108" s="18"/>
      <c r="E108" s="20"/>
      <c r="F108" s="20">
        <v>10</v>
      </c>
      <c r="G108" s="20"/>
      <c r="H108" s="20"/>
      <c r="I108" s="20"/>
      <c r="J108" s="20"/>
      <c r="K108" s="20"/>
      <c r="L108" s="20"/>
      <c r="M108" s="23">
        <v>0.6</v>
      </c>
      <c r="N108" s="20"/>
      <c r="O108" s="20"/>
      <c r="P108" s="20"/>
      <c r="Q108" s="20"/>
      <c r="R108" s="20"/>
      <c r="S108" s="20"/>
      <c r="T108" s="20"/>
      <c r="U108" s="23"/>
      <c r="V108" s="23"/>
      <c r="W108" s="20"/>
      <c r="X108" s="26"/>
      <c r="Y108" s="26"/>
      <c r="Z108" s="26"/>
      <c r="AA108" s="28"/>
      <c r="AB108" s="28"/>
      <c r="AC108" s="38"/>
      <c r="AD108" s="48"/>
      <c r="AE108" s="26"/>
    </row>
    <row r="109" spans="1:31">
      <c r="A109" s="16" t="s">
        <v>709</v>
      </c>
      <c r="B109" s="17" t="s">
        <v>1350</v>
      </c>
      <c r="C109" s="17" t="s">
        <v>825</v>
      </c>
      <c r="D109" s="18"/>
      <c r="E109" s="20"/>
      <c r="F109" s="20">
        <v>10</v>
      </c>
      <c r="G109" s="20"/>
      <c r="H109" s="20"/>
      <c r="I109" s="20"/>
      <c r="J109" s="20"/>
      <c r="K109" s="20"/>
      <c r="L109" s="20"/>
      <c r="M109" s="20"/>
      <c r="N109" s="20"/>
      <c r="O109" s="23">
        <v>0.4</v>
      </c>
      <c r="P109" s="20"/>
      <c r="Q109" s="20"/>
      <c r="R109" s="20"/>
      <c r="S109" s="20"/>
      <c r="T109" s="20"/>
      <c r="U109" s="23"/>
      <c r="V109" s="23"/>
      <c r="W109" s="20"/>
      <c r="X109" s="26"/>
      <c r="Y109" s="26"/>
      <c r="Z109" s="26"/>
      <c r="AA109" s="28"/>
      <c r="AB109" s="28"/>
      <c r="AC109" s="38"/>
      <c r="AD109" s="48"/>
      <c r="AE109" s="26"/>
    </row>
    <row r="110" spans="1:31">
      <c r="A110" s="16" t="s">
        <v>711</v>
      </c>
      <c r="B110" s="17" t="s">
        <v>1350</v>
      </c>
      <c r="C110" s="17" t="s">
        <v>825</v>
      </c>
      <c r="D110" s="18"/>
      <c r="E110" s="20"/>
      <c r="F110" s="20">
        <v>10</v>
      </c>
      <c r="G110" s="20"/>
      <c r="H110" s="20"/>
      <c r="I110" s="20"/>
      <c r="J110" s="20"/>
      <c r="K110" s="20"/>
      <c r="L110" s="20"/>
      <c r="M110" s="20"/>
      <c r="N110" s="23">
        <v>0.6</v>
      </c>
      <c r="O110" s="20"/>
      <c r="P110" s="20"/>
      <c r="Q110" s="20"/>
      <c r="R110" s="20"/>
      <c r="S110" s="20"/>
      <c r="T110" s="20"/>
      <c r="U110" s="23"/>
      <c r="V110" s="23"/>
      <c r="W110" s="20"/>
      <c r="X110" s="26"/>
      <c r="Y110" s="26"/>
      <c r="Z110" s="26"/>
      <c r="AA110" s="28"/>
      <c r="AB110" s="28"/>
      <c r="AC110" s="38"/>
      <c r="AD110" s="48"/>
      <c r="AE110" s="26"/>
    </row>
    <row r="111" spans="1:31">
      <c r="A111" s="16" t="s">
        <v>862</v>
      </c>
      <c r="B111" s="17" t="s">
        <v>1368</v>
      </c>
      <c r="C111" s="17" t="s">
        <v>825</v>
      </c>
      <c r="D111" s="18"/>
      <c r="E111" s="20"/>
      <c r="F111" s="20">
        <v>16</v>
      </c>
      <c r="G111" s="20"/>
      <c r="H111" s="20"/>
      <c r="I111" s="23">
        <v>0.12</v>
      </c>
      <c r="J111" s="20"/>
      <c r="K111" s="20"/>
      <c r="L111" s="20"/>
      <c r="M111" s="20"/>
      <c r="N111" s="20"/>
      <c r="O111" s="23">
        <v>0.3</v>
      </c>
      <c r="P111" s="20"/>
      <c r="Q111" s="20"/>
      <c r="R111" s="20"/>
      <c r="S111" s="20"/>
      <c r="T111" s="20"/>
      <c r="U111" s="23"/>
      <c r="V111" s="23"/>
      <c r="W111" s="20"/>
      <c r="X111" s="26"/>
      <c r="Y111" s="26"/>
      <c r="Z111" s="26"/>
      <c r="AA111" s="28"/>
      <c r="AB111" s="28"/>
      <c r="AC111" s="38"/>
      <c r="AD111" s="48"/>
      <c r="AE111" s="26"/>
    </row>
    <row r="112" spans="1:31">
      <c r="A112" s="16" t="s">
        <v>783</v>
      </c>
      <c r="B112" s="20" t="s">
        <v>1353</v>
      </c>
      <c r="C112" s="17" t="s">
        <v>825</v>
      </c>
      <c r="D112" s="21" t="s">
        <v>1354</v>
      </c>
      <c r="E112" s="20"/>
      <c r="F112" s="20">
        <v>15</v>
      </c>
      <c r="G112" s="20"/>
      <c r="H112" s="20"/>
      <c r="I112" s="20"/>
      <c r="J112" s="20"/>
      <c r="K112" s="23">
        <v>0.6</v>
      </c>
      <c r="L112" s="23">
        <v>0.6</v>
      </c>
      <c r="M112" s="20"/>
      <c r="N112" s="23">
        <v>0.6</v>
      </c>
      <c r="O112" s="20"/>
      <c r="P112" s="20"/>
      <c r="Q112" s="20"/>
      <c r="R112" s="20"/>
      <c r="S112" s="20"/>
      <c r="T112" s="20"/>
      <c r="U112" s="23"/>
      <c r="V112" s="23"/>
      <c r="W112" s="20"/>
      <c r="X112" s="26"/>
      <c r="Y112" s="26"/>
      <c r="Z112" s="26"/>
      <c r="AA112" s="28"/>
      <c r="AB112" s="28"/>
      <c r="AC112" s="38"/>
      <c r="AD112" s="48"/>
      <c r="AE112" s="26"/>
    </row>
    <row r="113" spans="1:31">
      <c r="A113" s="16" t="s">
        <v>783</v>
      </c>
      <c r="B113" s="20" t="s">
        <v>1353</v>
      </c>
      <c r="C113" s="17" t="s">
        <v>780</v>
      </c>
      <c r="D113" s="21" t="s">
        <v>1354</v>
      </c>
      <c r="E113" s="20"/>
      <c r="F113" s="20">
        <v>11</v>
      </c>
      <c r="G113" s="20"/>
      <c r="H113" s="20"/>
      <c r="I113" s="20"/>
      <c r="J113" s="20"/>
      <c r="K113" s="23">
        <v>0.4</v>
      </c>
      <c r="L113" s="23">
        <v>0.4</v>
      </c>
      <c r="M113" s="20"/>
      <c r="N113" s="23">
        <v>0.4</v>
      </c>
      <c r="O113" s="20"/>
      <c r="P113" s="20"/>
      <c r="Q113" s="20"/>
      <c r="R113" s="20"/>
      <c r="S113" s="20"/>
      <c r="T113" s="20"/>
      <c r="U113" s="23"/>
      <c r="V113" s="23"/>
      <c r="W113" s="20"/>
      <c r="X113" s="26"/>
      <c r="Y113" s="26"/>
      <c r="Z113" s="26"/>
      <c r="AA113" s="28"/>
      <c r="AB113" s="28"/>
      <c r="AC113" s="38"/>
      <c r="AD113" s="48"/>
      <c r="AE113" s="26"/>
    </row>
    <row r="114" spans="1:31">
      <c r="A114" s="16" t="s">
        <v>778</v>
      </c>
      <c r="B114" s="17" t="s">
        <v>1350</v>
      </c>
      <c r="C114" s="17" t="s">
        <v>780</v>
      </c>
      <c r="D114" s="18"/>
      <c r="E114" s="20"/>
      <c r="F114" s="20">
        <v>11</v>
      </c>
      <c r="G114" s="20"/>
      <c r="H114" s="20"/>
      <c r="I114" s="20"/>
      <c r="J114" s="20"/>
      <c r="K114" s="23">
        <v>0.24</v>
      </c>
      <c r="L114" s="20"/>
      <c r="M114" s="20"/>
      <c r="N114" s="20"/>
      <c r="O114" s="23">
        <v>0.24</v>
      </c>
      <c r="P114" s="20"/>
      <c r="Q114" s="20"/>
      <c r="R114" s="20"/>
      <c r="S114" s="20"/>
      <c r="T114" s="20"/>
      <c r="U114" s="23"/>
      <c r="V114" s="23"/>
      <c r="W114" s="20"/>
      <c r="X114" s="26"/>
      <c r="Y114" s="26"/>
      <c r="Z114" s="26"/>
      <c r="AA114" s="28"/>
      <c r="AB114" s="28"/>
      <c r="AC114" s="38"/>
      <c r="AD114" s="48"/>
      <c r="AE114" s="26"/>
    </row>
    <row r="115" spans="1:31">
      <c r="A115" s="16" t="s">
        <v>781</v>
      </c>
      <c r="B115" s="17" t="s">
        <v>1350</v>
      </c>
      <c r="C115" s="17" t="s">
        <v>780</v>
      </c>
      <c r="D115" s="18"/>
      <c r="E115" s="20"/>
      <c r="F115" s="20">
        <v>9</v>
      </c>
      <c r="G115" s="20"/>
      <c r="H115" s="20"/>
      <c r="I115" s="20"/>
      <c r="J115" s="20"/>
      <c r="K115" s="20"/>
      <c r="L115" s="46">
        <v>0.24</v>
      </c>
      <c r="M115" s="47">
        <v>0.24</v>
      </c>
      <c r="N115" s="20"/>
      <c r="O115" s="20"/>
      <c r="P115" s="20"/>
      <c r="Q115" s="20"/>
      <c r="R115" s="20"/>
      <c r="S115" s="20"/>
      <c r="T115" s="20"/>
      <c r="U115" s="23"/>
      <c r="V115" s="23"/>
      <c r="W115" s="20"/>
      <c r="X115" s="26"/>
      <c r="Y115" s="26"/>
      <c r="Z115" s="26"/>
      <c r="AA115" s="28"/>
      <c r="AB115" s="28"/>
      <c r="AC115" s="38"/>
      <c r="AD115" s="48"/>
      <c r="AE115" s="26"/>
    </row>
    <row r="116" spans="1:31">
      <c r="A116" s="19" t="s">
        <v>1000</v>
      </c>
      <c r="B116" s="20" t="s">
        <v>1353</v>
      </c>
      <c r="C116" s="20" t="s">
        <v>959</v>
      </c>
      <c r="D116" s="21" t="s">
        <v>1354</v>
      </c>
      <c r="E116" s="20" t="s">
        <v>1355</v>
      </c>
      <c r="F116" s="20">
        <v>24</v>
      </c>
      <c r="G116" s="20"/>
      <c r="H116" s="20"/>
      <c r="I116" s="20"/>
      <c r="J116" s="20"/>
      <c r="K116" s="23">
        <v>0.75</v>
      </c>
      <c r="L116" s="23">
        <v>0.75</v>
      </c>
      <c r="M116" s="20"/>
      <c r="N116" s="23">
        <v>0.75</v>
      </c>
      <c r="O116" s="20"/>
      <c r="P116" s="20"/>
      <c r="Q116" s="20"/>
      <c r="R116" s="20"/>
      <c r="S116" s="20"/>
      <c r="T116" s="20"/>
      <c r="U116" s="20"/>
      <c r="V116" s="23">
        <v>0.18</v>
      </c>
      <c r="W116" s="20"/>
      <c r="X116" s="26"/>
      <c r="Y116" s="26"/>
      <c r="Z116" s="26"/>
      <c r="AA116" s="28"/>
      <c r="AB116" s="28"/>
      <c r="AC116" s="38"/>
      <c r="AD116" s="48"/>
      <c r="AE116" s="27"/>
    </row>
    <row r="117" spans="1:31">
      <c r="A117" s="19" t="s">
        <v>77</v>
      </c>
      <c r="B117" s="20" t="s">
        <v>1353</v>
      </c>
      <c r="C117" s="20" t="s">
        <v>959</v>
      </c>
      <c r="D117" s="21" t="s">
        <v>1354</v>
      </c>
      <c r="E117" s="20" t="s">
        <v>1355</v>
      </c>
      <c r="F117" s="20">
        <v>24</v>
      </c>
      <c r="G117" s="20"/>
      <c r="H117" s="20"/>
      <c r="I117" s="20"/>
      <c r="J117" s="20"/>
      <c r="K117" s="23">
        <v>0.75</v>
      </c>
      <c r="L117" s="23">
        <v>0.75</v>
      </c>
      <c r="M117" s="20"/>
      <c r="N117" s="23">
        <v>0.75</v>
      </c>
      <c r="O117" s="20"/>
      <c r="P117" s="20"/>
      <c r="Q117" s="20"/>
      <c r="R117" s="20"/>
      <c r="S117" s="20"/>
      <c r="T117" s="20"/>
      <c r="U117" s="20"/>
      <c r="V117" s="23"/>
      <c r="W117" s="23">
        <v>0.06</v>
      </c>
      <c r="X117" s="27"/>
      <c r="Y117" s="27"/>
      <c r="Z117" s="27"/>
      <c r="AA117" s="27"/>
      <c r="AB117" s="27"/>
      <c r="AC117" s="49"/>
      <c r="AD117" s="48"/>
      <c r="AE117" s="27"/>
    </row>
    <row r="118" spans="1:31">
      <c r="A118" s="19" t="s">
        <v>1003</v>
      </c>
      <c r="B118" s="20" t="s">
        <v>1353</v>
      </c>
      <c r="C118" s="20" t="s">
        <v>959</v>
      </c>
      <c r="D118" s="21" t="s">
        <v>1354</v>
      </c>
      <c r="E118" s="20" t="s">
        <v>1355</v>
      </c>
      <c r="F118" s="20">
        <v>24</v>
      </c>
      <c r="G118" s="20"/>
      <c r="H118" s="20"/>
      <c r="I118" s="20"/>
      <c r="J118" s="20"/>
      <c r="K118" s="23">
        <v>0.75</v>
      </c>
      <c r="L118" s="23">
        <v>0.75</v>
      </c>
      <c r="M118" s="20"/>
      <c r="N118" s="23">
        <v>0.75</v>
      </c>
      <c r="O118" s="20"/>
      <c r="P118" s="20"/>
      <c r="Q118" s="20"/>
      <c r="R118" s="23"/>
      <c r="S118" s="23"/>
      <c r="T118" s="23">
        <v>-0.5</v>
      </c>
      <c r="U118" s="20"/>
      <c r="V118" s="23"/>
      <c r="W118" s="20"/>
      <c r="X118" s="27">
        <v>0.18</v>
      </c>
      <c r="Y118" s="26"/>
      <c r="Z118" s="26"/>
      <c r="AA118" s="28"/>
      <c r="AB118" s="28"/>
      <c r="AC118" s="38"/>
      <c r="AD118" s="48"/>
      <c r="AE118" s="27"/>
    </row>
    <row r="119" spans="1:31">
      <c r="A119" s="19" t="s">
        <v>117</v>
      </c>
      <c r="B119" s="20" t="s">
        <v>1353</v>
      </c>
      <c r="C119" s="20" t="s">
        <v>959</v>
      </c>
      <c r="D119" s="21" t="s">
        <v>1354</v>
      </c>
      <c r="E119" s="20" t="s">
        <v>1355</v>
      </c>
      <c r="F119" s="20">
        <v>24</v>
      </c>
      <c r="G119" s="20"/>
      <c r="H119" s="20"/>
      <c r="I119" s="20"/>
      <c r="J119" s="20"/>
      <c r="K119" s="23">
        <v>0.75</v>
      </c>
      <c r="L119" s="23">
        <v>0.75</v>
      </c>
      <c r="M119" s="20"/>
      <c r="N119" s="23">
        <v>0.75</v>
      </c>
      <c r="O119" s="20"/>
      <c r="P119" s="20"/>
      <c r="Q119" s="20"/>
      <c r="R119" s="20"/>
      <c r="S119" s="20"/>
      <c r="T119" s="20"/>
      <c r="U119" s="20"/>
      <c r="V119" s="23"/>
      <c r="W119" s="20"/>
      <c r="X119" s="26"/>
      <c r="Y119" s="26"/>
      <c r="Z119" s="26"/>
      <c r="AA119" s="28"/>
      <c r="AB119" s="28"/>
      <c r="AC119" s="38"/>
      <c r="AD119" s="48">
        <v>7</v>
      </c>
      <c r="AE119" s="27" t="s">
        <v>1393</v>
      </c>
    </row>
    <row r="120" spans="1:31">
      <c r="A120" s="19" t="s">
        <v>95</v>
      </c>
      <c r="B120" s="20" t="s">
        <v>1353</v>
      </c>
      <c r="C120" s="20" t="s">
        <v>959</v>
      </c>
      <c r="D120" s="21" t="s">
        <v>1354</v>
      </c>
      <c r="E120" s="20" t="s">
        <v>1355</v>
      </c>
      <c r="F120" s="20">
        <v>24</v>
      </c>
      <c r="G120" s="20"/>
      <c r="H120" s="20"/>
      <c r="I120" s="20"/>
      <c r="J120" s="20"/>
      <c r="K120" s="23">
        <v>0.75</v>
      </c>
      <c r="L120" s="23">
        <v>0.75</v>
      </c>
      <c r="M120" s="20"/>
      <c r="N120" s="23">
        <v>0.75</v>
      </c>
      <c r="O120" s="20"/>
      <c r="P120" s="20"/>
      <c r="Q120" s="20"/>
      <c r="R120" s="23">
        <v>0.11</v>
      </c>
      <c r="S120" s="23"/>
      <c r="T120" s="23"/>
      <c r="U120" s="20"/>
      <c r="V120" s="23"/>
      <c r="W120" s="20"/>
      <c r="X120" s="26"/>
      <c r="Y120" s="26"/>
      <c r="Z120" s="26"/>
      <c r="AA120" s="28"/>
      <c r="AB120" s="28"/>
      <c r="AC120" s="38"/>
      <c r="AD120" s="48"/>
      <c r="AE120" s="27"/>
    </row>
    <row r="121" spans="1:31">
      <c r="A121" s="22" t="s">
        <v>966</v>
      </c>
      <c r="B121" s="18" t="s">
        <v>1391</v>
      </c>
      <c r="C121" s="18" t="s">
        <v>959</v>
      </c>
      <c r="D121" s="18"/>
      <c r="E121" s="20" t="s">
        <v>1359</v>
      </c>
      <c r="F121" s="20">
        <v>12</v>
      </c>
      <c r="G121" s="23">
        <v>-0.3</v>
      </c>
      <c r="H121" s="20"/>
      <c r="I121" s="20"/>
      <c r="J121" s="23">
        <v>0.5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6"/>
      <c r="Y121" s="26"/>
      <c r="Z121" s="26"/>
      <c r="AA121" s="28"/>
      <c r="AB121" s="28"/>
      <c r="AC121" s="38"/>
      <c r="AD121" s="48"/>
      <c r="AE121" s="26"/>
    </row>
    <row r="122" spans="1:31">
      <c r="A122" s="22" t="s">
        <v>964</v>
      </c>
      <c r="B122" s="18" t="s">
        <v>1391</v>
      </c>
      <c r="C122" s="18" t="s">
        <v>959</v>
      </c>
      <c r="D122" s="18"/>
      <c r="E122" s="18" t="s">
        <v>1359</v>
      </c>
      <c r="F122" s="18">
        <v>16</v>
      </c>
      <c r="G122" s="20"/>
      <c r="H122" s="23">
        <v>0.4</v>
      </c>
      <c r="I122" s="20"/>
      <c r="J122" s="23">
        <v>-0.6</v>
      </c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6"/>
      <c r="Y122" s="26"/>
      <c r="Z122" s="26"/>
      <c r="AA122" s="28"/>
      <c r="AB122" s="28"/>
      <c r="AC122" s="38"/>
      <c r="AD122" s="48"/>
      <c r="AE122" s="26"/>
    </row>
    <row r="123" spans="1:31">
      <c r="A123" s="22" t="s">
        <v>133</v>
      </c>
      <c r="B123" s="18" t="s">
        <v>1391</v>
      </c>
      <c r="C123" s="18" t="s">
        <v>959</v>
      </c>
      <c r="D123" s="18"/>
      <c r="E123" s="18" t="s">
        <v>1352</v>
      </c>
      <c r="F123" s="18">
        <v>13</v>
      </c>
      <c r="G123" s="23">
        <v>0.9</v>
      </c>
      <c r="H123" s="23"/>
      <c r="I123" s="23">
        <v>-0.5</v>
      </c>
      <c r="J123" s="23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3"/>
      <c r="V123" s="23"/>
      <c r="W123" s="20"/>
      <c r="X123" s="26"/>
      <c r="Y123" s="26"/>
      <c r="Z123" s="26"/>
      <c r="AA123" s="28"/>
      <c r="AB123" s="28"/>
      <c r="AC123" s="38"/>
      <c r="AD123" s="48"/>
      <c r="AE123" s="26"/>
    </row>
    <row r="124" spans="1:31">
      <c r="A124" s="22" t="s">
        <v>1394</v>
      </c>
      <c r="B124" s="18" t="s">
        <v>1391</v>
      </c>
      <c r="C124" s="18" t="s">
        <v>959</v>
      </c>
      <c r="D124" s="18"/>
      <c r="E124" s="18" t="s">
        <v>1352</v>
      </c>
      <c r="F124" s="18">
        <v>15</v>
      </c>
      <c r="G124" s="23">
        <v>0.9</v>
      </c>
      <c r="H124" s="23">
        <v>-0.5</v>
      </c>
      <c r="I124" s="23"/>
      <c r="J124" s="23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3"/>
      <c r="V124" s="23"/>
      <c r="W124" s="20"/>
      <c r="X124" s="26"/>
      <c r="Y124" s="26"/>
      <c r="Z124" s="26"/>
      <c r="AA124" s="28"/>
      <c r="AB124" s="28"/>
      <c r="AC124" s="38"/>
      <c r="AD124" s="48"/>
      <c r="AE124" s="26"/>
    </row>
    <row r="125" spans="1:31">
      <c r="A125" s="16" t="s">
        <v>702</v>
      </c>
      <c r="B125" s="18" t="s">
        <v>1350</v>
      </c>
      <c r="C125" s="18" t="s">
        <v>959</v>
      </c>
      <c r="D125" s="18"/>
      <c r="E125" s="20" t="s">
        <v>1355</v>
      </c>
      <c r="F125" s="20">
        <v>13</v>
      </c>
      <c r="G125" s="23">
        <v>0.75</v>
      </c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3"/>
      <c r="V125" s="23"/>
      <c r="W125" s="20"/>
      <c r="X125" s="26"/>
      <c r="Y125" s="26"/>
      <c r="Z125" s="26"/>
      <c r="AA125" s="28"/>
      <c r="AB125" s="28"/>
      <c r="AC125" s="38"/>
      <c r="AD125" s="48"/>
      <c r="AE125" s="26"/>
    </row>
    <row r="126" spans="1:31">
      <c r="A126" s="16" t="s">
        <v>709</v>
      </c>
      <c r="B126" s="18" t="s">
        <v>1350</v>
      </c>
      <c r="C126" s="18" t="s">
        <v>959</v>
      </c>
      <c r="D126" s="18"/>
      <c r="E126" s="20" t="s">
        <v>1359</v>
      </c>
      <c r="F126" s="20">
        <v>13</v>
      </c>
      <c r="G126" s="20"/>
      <c r="H126" s="20"/>
      <c r="I126" s="20"/>
      <c r="J126" s="20"/>
      <c r="K126" s="20"/>
      <c r="L126" s="20"/>
      <c r="M126" s="20"/>
      <c r="N126" s="20"/>
      <c r="O126" s="23">
        <v>0.5</v>
      </c>
      <c r="P126" s="20"/>
      <c r="Q126" s="20"/>
      <c r="R126" s="20"/>
      <c r="S126" s="20"/>
      <c r="T126" s="20"/>
      <c r="U126" s="23"/>
      <c r="V126" s="23"/>
      <c r="W126" s="20"/>
      <c r="X126" s="26"/>
      <c r="Y126" s="26"/>
      <c r="Z126" s="26"/>
      <c r="AA126" s="28"/>
      <c r="AB126" s="28"/>
      <c r="AC126" s="38"/>
      <c r="AD126" s="48"/>
      <c r="AE126" s="26"/>
    </row>
    <row r="127" spans="1:31">
      <c r="A127" s="19" t="s">
        <v>705</v>
      </c>
      <c r="B127" s="17" t="s">
        <v>1350</v>
      </c>
      <c r="C127" s="17" t="s">
        <v>959</v>
      </c>
      <c r="D127" s="18"/>
      <c r="E127" s="21" t="s">
        <v>1361</v>
      </c>
      <c r="F127" s="20">
        <v>13</v>
      </c>
      <c r="G127" s="20"/>
      <c r="H127" s="20"/>
      <c r="I127" s="20"/>
      <c r="J127" s="20"/>
      <c r="K127" s="20"/>
      <c r="L127" s="23">
        <v>0.75</v>
      </c>
      <c r="M127" s="20"/>
      <c r="N127" s="20"/>
      <c r="O127" s="20"/>
      <c r="P127" s="20"/>
      <c r="Q127" s="20"/>
      <c r="R127" s="20"/>
      <c r="S127" s="20"/>
      <c r="T127" s="20"/>
      <c r="U127" s="23"/>
      <c r="V127" s="23"/>
      <c r="W127" s="20"/>
      <c r="X127" s="26"/>
      <c r="Y127" s="26"/>
      <c r="Z127" s="26"/>
      <c r="AA127" s="28"/>
      <c r="AB127" s="28"/>
      <c r="AC127" s="38"/>
      <c r="AD127" s="48"/>
      <c r="AE127" s="26"/>
    </row>
    <row r="128" spans="1:31">
      <c r="A128" s="16" t="s">
        <v>707</v>
      </c>
      <c r="B128" s="17" t="s">
        <v>1350</v>
      </c>
      <c r="C128" s="17" t="s">
        <v>959</v>
      </c>
      <c r="D128" s="18"/>
      <c r="E128" s="21" t="s">
        <v>1361</v>
      </c>
      <c r="F128" s="20">
        <v>13</v>
      </c>
      <c r="G128" s="20"/>
      <c r="H128" s="20"/>
      <c r="I128" s="20"/>
      <c r="J128" s="20"/>
      <c r="K128" s="20"/>
      <c r="L128" s="20"/>
      <c r="M128" s="23">
        <v>0.75</v>
      </c>
      <c r="N128" s="20"/>
      <c r="O128" s="20"/>
      <c r="P128" s="20"/>
      <c r="Q128" s="20"/>
      <c r="R128" s="20"/>
      <c r="S128" s="20"/>
      <c r="T128" s="20"/>
      <c r="U128" s="23"/>
      <c r="V128" s="23"/>
      <c r="W128" s="20"/>
      <c r="X128" s="26"/>
      <c r="Y128" s="26"/>
      <c r="Z128" s="26"/>
      <c r="AA128" s="28"/>
      <c r="AB128" s="28"/>
      <c r="AC128" s="38"/>
      <c r="AD128" s="48"/>
      <c r="AE128" s="26"/>
    </row>
    <row r="129" spans="1:31">
      <c r="A129" s="16" t="s">
        <v>711</v>
      </c>
      <c r="B129" s="17" t="s">
        <v>1350</v>
      </c>
      <c r="C129" s="17" t="s">
        <v>959</v>
      </c>
      <c r="D129" s="18"/>
      <c r="E129" s="21" t="s">
        <v>1361</v>
      </c>
      <c r="F129" s="20">
        <v>13</v>
      </c>
      <c r="G129" s="20"/>
      <c r="H129" s="20"/>
      <c r="I129" s="20"/>
      <c r="J129" s="20"/>
      <c r="K129" s="20"/>
      <c r="L129" s="20"/>
      <c r="M129" s="20"/>
      <c r="N129" s="23">
        <v>0.75</v>
      </c>
      <c r="O129" s="20"/>
      <c r="P129" s="20"/>
      <c r="Q129" s="20"/>
      <c r="R129" s="20"/>
      <c r="S129" s="20"/>
      <c r="T129" s="20"/>
      <c r="U129" s="23"/>
      <c r="V129" s="23"/>
      <c r="W129" s="20"/>
      <c r="X129" s="26"/>
      <c r="Y129" s="26"/>
      <c r="Z129" s="26"/>
      <c r="AA129" s="28"/>
      <c r="AB129" s="28"/>
      <c r="AC129" s="38"/>
      <c r="AD129" s="48"/>
      <c r="AE129" s="26"/>
    </row>
    <row r="130" spans="1:31">
      <c r="A130" s="22" t="s">
        <v>129</v>
      </c>
      <c r="B130" s="18" t="s">
        <v>1383</v>
      </c>
      <c r="C130" s="17" t="s">
        <v>959</v>
      </c>
      <c r="D130" s="18"/>
      <c r="E130" s="20" t="s">
        <v>1359</v>
      </c>
      <c r="F130" s="20">
        <v>17</v>
      </c>
      <c r="G130" s="20"/>
      <c r="H130" s="20"/>
      <c r="I130" s="20"/>
      <c r="J130" s="20"/>
      <c r="K130" s="23">
        <v>0.9</v>
      </c>
      <c r="L130" s="20"/>
      <c r="M130" s="20"/>
      <c r="N130" s="20"/>
      <c r="O130" s="20"/>
      <c r="P130" s="20"/>
      <c r="Q130" s="20"/>
      <c r="R130" s="20"/>
      <c r="S130" s="20"/>
      <c r="T130" s="20"/>
      <c r="U130" s="23"/>
      <c r="V130" s="23"/>
      <c r="W130" s="20"/>
      <c r="X130" s="26"/>
      <c r="Y130" s="26"/>
      <c r="Z130" s="26"/>
      <c r="AA130" s="28"/>
      <c r="AB130" s="28"/>
      <c r="AC130" s="38"/>
      <c r="AD130" s="48"/>
      <c r="AE130" s="26"/>
    </row>
    <row r="131" spans="1:31">
      <c r="A131" s="16" t="s">
        <v>969</v>
      </c>
      <c r="B131" s="18" t="s">
        <v>1383</v>
      </c>
      <c r="C131" s="17" t="s">
        <v>959</v>
      </c>
      <c r="D131" s="18"/>
      <c r="E131" s="20" t="s">
        <v>1359</v>
      </c>
      <c r="F131" s="20">
        <v>15</v>
      </c>
      <c r="G131" s="23">
        <v>0.54</v>
      </c>
      <c r="H131" s="20"/>
      <c r="I131" s="20"/>
      <c r="J131" s="20"/>
      <c r="K131" s="20"/>
      <c r="L131" s="23">
        <v>-0.27</v>
      </c>
      <c r="M131" s="23">
        <v>-0.27</v>
      </c>
      <c r="N131" s="20"/>
      <c r="O131" s="20"/>
      <c r="P131" s="20"/>
      <c r="Q131" s="20"/>
      <c r="R131" s="20"/>
      <c r="S131" s="20"/>
      <c r="T131" s="20"/>
      <c r="U131" s="23"/>
      <c r="V131" s="23"/>
      <c r="W131" s="20"/>
      <c r="X131" s="26"/>
      <c r="Y131" s="26"/>
      <c r="Z131" s="26"/>
      <c r="AA131" s="28"/>
      <c r="AB131" s="28"/>
      <c r="AC131" s="38"/>
      <c r="AD131" s="48"/>
      <c r="AE131" s="26"/>
    </row>
    <row r="132" spans="1:31">
      <c r="A132" s="16" t="s">
        <v>131</v>
      </c>
      <c r="B132" s="18" t="s">
        <v>1383</v>
      </c>
      <c r="C132" s="17" t="s">
        <v>959</v>
      </c>
      <c r="D132" s="18"/>
      <c r="E132" s="20" t="s">
        <v>1359</v>
      </c>
      <c r="F132" s="20">
        <v>16</v>
      </c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3">
        <v>0.24</v>
      </c>
      <c r="S132" s="20"/>
      <c r="T132" s="20"/>
      <c r="U132" s="23"/>
      <c r="V132" s="23"/>
      <c r="W132" s="20"/>
      <c r="X132" s="26"/>
      <c r="Y132" s="26"/>
      <c r="Z132" s="26"/>
      <c r="AA132" s="28"/>
      <c r="AB132" s="28"/>
      <c r="AC132" s="38"/>
      <c r="AD132" s="48"/>
      <c r="AE132" s="26"/>
    </row>
    <row r="133" spans="1:31">
      <c r="A133" s="16" t="s">
        <v>972</v>
      </c>
      <c r="B133" s="18" t="s">
        <v>1383</v>
      </c>
      <c r="C133" s="17" t="s">
        <v>959</v>
      </c>
      <c r="D133" s="18"/>
      <c r="E133" s="20" t="s">
        <v>1359</v>
      </c>
      <c r="F133" s="20">
        <v>16</v>
      </c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3">
        <v>0.24</v>
      </c>
      <c r="S133" s="20"/>
      <c r="T133" s="20"/>
      <c r="U133" s="23"/>
      <c r="V133" s="23"/>
      <c r="W133" s="20"/>
      <c r="X133" s="26"/>
      <c r="Y133" s="26"/>
      <c r="Z133" s="26"/>
      <c r="AA133" s="28"/>
      <c r="AB133" s="28"/>
      <c r="AC133" s="38"/>
      <c r="AD133" s="48"/>
      <c r="AE133" s="26"/>
    </row>
    <row r="134" spans="1:31">
      <c r="A134" s="16" t="s">
        <v>113</v>
      </c>
      <c r="B134" s="18" t="s">
        <v>1383</v>
      </c>
      <c r="C134" s="17" t="s">
        <v>959</v>
      </c>
      <c r="D134" s="18"/>
      <c r="E134" s="20" t="s">
        <v>1359</v>
      </c>
      <c r="F134" s="20">
        <v>16</v>
      </c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3"/>
      <c r="V134" s="23"/>
      <c r="W134" s="20"/>
      <c r="X134" s="26"/>
      <c r="Y134" s="26"/>
      <c r="Z134" s="26"/>
      <c r="AA134" s="28"/>
      <c r="AB134" s="28"/>
      <c r="AC134" s="38">
        <v>0.24</v>
      </c>
      <c r="AD134" s="48"/>
      <c r="AE134" s="26"/>
    </row>
    <row r="135" spans="1:31">
      <c r="A135" s="16" t="s">
        <v>975</v>
      </c>
      <c r="B135" s="18" t="s">
        <v>1383</v>
      </c>
      <c r="C135" s="17" t="s">
        <v>959</v>
      </c>
      <c r="D135" s="18"/>
      <c r="E135" s="33" t="s">
        <v>1359</v>
      </c>
      <c r="F135" s="20">
        <v>14</v>
      </c>
      <c r="G135" s="20"/>
      <c r="H135" s="20"/>
      <c r="I135" s="20"/>
      <c r="J135" s="20"/>
      <c r="K135" s="23">
        <v>1.26</v>
      </c>
      <c r="L135" s="20"/>
      <c r="M135" s="20"/>
      <c r="N135" s="20"/>
      <c r="O135" s="20"/>
      <c r="P135" s="20"/>
      <c r="Q135" s="20"/>
      <c r="R135" s="20"/>
      <c r="S135" s="20"/>
      <c r="T135" s="20"/>
      <c r="U135" s="23"/>
      <c r="V135" s="23"/>
      <c r="W135" s="20"/>
      <c r="X135" s="26"/>
      <c r="Y135" s="26"/>
      <c r="Z135" s="26"/>
      <c r="AA135" s="28"/>
      <c r="AB135" s="28"/>
      <c r="AC135" s="38"/>
      <c r="AD135" s="48"/>
      <c r="AE135" s="26"/>
    </row>
    <row r="136" spans="1:31">
      <c r="A136" s="16" t="s">
        <v>977</v>
      </c>
      <c r="B136" s="20" t="s">
        <v>1351</v>
      </c>
      <c r="C136" s="17" t="s">
        <v>959</v>
      </c>
      <c r="D136" s="18" t="s">
        <v>79</v>
      </c>
      <c r="E136" s="21" t="s">
        <v>1352</v>
      </c>
      <c r="F136" s="20">
        <v>22</v>
      </c>
      <c r="G136" s="23">
        <v>0.18</v>
      </c>
      <c r="H136" s="20"/>
      <c r="I136" s="20"/>
      <c r="J136" s="23">
        <v>0.18</v>
      </c>
      <c r="K136" s="20"/>
      <c r="L136" s="20"/>
      <c r="M136" s="20"/>
      <c r="N136" s="20"/>
      <c r="O136" s="20"/>
      <c r="P136" s="23">
        <v>0.18</v>
      </c>
      <c r="Q136" s="20"/>
      <c r="R136" s="20"/>
      <c r="S136" s="20"/>
      <c r="T136" s="20"/>
      <c r="U136" s="23"/>
      <c r="V136" s="23"/>
      <c r="W136" s="20"/>
      <c r="X136" s="26"/>
      <c r="Y136" s="26"/>
      <c r="Z136" s="26"/>
      <c r="AA136" s="28"/>
      <c r="AB136" s="28"/>
      <c r="AC136" s="38"/>
      <c r="AD136" s="48"/>
      <c r="AE136" s="26"/>
    </row>
    <row r="137" spans="1:31">
      <c r="A137" s="16" t="s">
        <v>979</v>
      </c>
      <c r="B137" s="20" t="s">
        <v>1351</v>
      </c>
      <c r="C137" s="17" t="s">
        <v>959</v>
      </c>
      <c r="D137" s="18" t="s">
        <v>23</v>
      </c>
      <c r="E137" s="21" t="s">
        <v>1352</v>
      </c>
      <c r="F137" s="20">
        <v>22</v>
      </c>
      <c r="G137" s="23">
        <v>0.18</v>
      </c>
      <c r="H137" s="20"/>
      <c r="I137" s="20"/>
      <c r="J137" s="23">
        <v>0.18</v>
      </c>
      <c r="K137" s="20"/>
      <c r="L137" s="20"/>
      <c r="M137" s="20"/>
      <c r="N137" s="20"/>
      <c r="O137" s="20"/>
      <c r="P137" s="23">
        <v>0.18</v>
      </c>
      <c r="Q137" s="20"/>
      <c r="R137" s="20"/>
      <c r="S137" s="20"/>
      <c r="T137" s="20"/>
      <c r="U137" s="23"/>
      <c r="V137" s="23"/>
      <c r="W137" s="20"/>
      <c r="X137" s="26"/>
      <c r="Y137" s="26"/>
      <c r="Z137" s="26"/>
      <c r="AA137" s="28"/>
      <c r="AB137" s="28"/>
      <c r="AC137" s="38"/>
      <c r="AD137" s="48"/>
      <c r="AE137" s="26"/>
    </row>
    <row r="138" spans="1:31">
      <c r="A138" s="16" t="s">
        <v>981</v>
      </c>
      <c r="B138" s="20" t="s">
        <v>1351</v>
      </c>
      <c r="C138" s="17" t="s">
        <v>959</v>
      </c>
      <c r="D138" s="18" t="s">
        <v>37</v>
      </c>
      <c r="E138" s="21" t="s">
        <v>1352</v>
      </c>
      <c r="F138" s="20">
        <v>22</v>
      </c>
      <c r="G138" s="23">
        <v>0.18</v>
      </c>
      <c r="H138" s="20"/>
      <c r="I138" s="20"/>
      <c r="J138" s="23">
        <v>0.18</v>
      </c>
      <c r="K138" s="20"/>
      <c r="L138" s="20"/>
      <c r="M138" s="20"/>
      <c r="N138" s="20"/>
      <c r="O138" s="20"/>
      <c r="P138" s="23">
        <v>0.18</v>
      </c>
      <c r="Q138" s="20"/>
      <c r="R138" s="20"/>
      <c r="S138" s="20"/>
      <c r="T138" s="20"/>
      <c r="U138" s="23"/>
      <c r="V138" s="23"/>
      <c r="W138" s="20"/>
      <c r="X138" s="26"/>
      <c r="Y138" s="26"/>
      <c r="Z138" s="26"/>
      <c r="AA138" s="28"/>
      <c r="AB138" s="28"/>
      <c r="AC138" s="38"/>
      <c r="AD138" s="48"/>
      <c r="AE138" s="26"/>
    </row>
    <row r="139" spans="1:31">
      <c r="A139" s="16" t="s">
        <v>983</v>
      </c>
      <c r="B139" s="20" t="s">
        <v>1351</v>
      </c>
      <c r="C139" s="17" t="s">
        <v>959</v>
      </c>
      <c r="D139" s="18" t="s">
        <v>10</v>
      </c>
      <c r="E139" s="21" t="s">
        <v>1352</v>
      </c>
      <c r="F139" s="20">
        <v>22</v>
      </c>
      <c r="G139" s="23">
        <v>0.18</v>
      </c>
      <c r="H139" s="20"/>
      <c r="I139" s="20"/>
      <c r="J139" s="23">
        <v>0.18</v>
      </c>
      <c r="K139" s="20"/>
      <c r="L139" s="20"/>
      <c r="M139" s="20"/>
      <c r="N139" s="20"/>
      <c r="O139" s="20"/>
      <c r="P139" s="23">
        <v>0.18</v>
      </c>
      <c r="Q139" s="20"/>
      <c r="R139" s="20"/>
      <c r="S139" s="20"/>
      <c r="T139" s="20"/>
      <c r="U139" s="23"/>
      <c r="V139" s="23"/>
      <c r="W139" s="20"/>
      <c r="X139" s="26"/>
      <c r="Y139" s="26"/>
      <c r="Z139" s="26"/>
      <c r="AA139" s="28"/>
      <c r="AB139" s="28"/>
      <c r="AC139" s="38"/>
      <c r="AD139" s="48"/>
      <c r="AE139" s="26"/>
    </row>
    <row r="140" spans="1:31">
      <c r="A140" s="16" t="s">
        <v>83</v>
      </c>
      <c r="B140" s="20" t="s">
        <v>1351</v>
      </c>
      <c r="C140" s="17" t="s">
        <v>959</v>
      </c>
      <c r="D140" s="18" t="s">
        <v>43</v>
      </c>
      <c r="E140" s="21" t="s">
        <v>1352</v>
      </c>
      <c r="F140" s="20">
        <v>22</v>
      </c>
      <c r="G140" s="23">
        <v>0.18</v>
      </c>
      <c r="H140" s="20"/>
      <c r="I140" s="20"/>
      <c r="J140" s="23">
        <v>0.18</v>
      </c>
      <c r="K140" s="20"/>
      <c r="L140" s="20"/>
      <c r="M140" s="20"/>
      <c r="N140" s="20"/>
      <c r="O140" s="20"/>
      <c r="P140" s="23">
        <v>0.18</v>
      </c>
      <c r="Q140" s="20"/>
      <c r="R140" s="20"/>
      <c r="S140" s="20"/>
      <c r="T140" s="20"/>
      <c r="U140" s="23"/>
      <c r="V140" s="23"/>
      <c r="W140" s="20"/>
      <c r="X140" s="26"/>
      <c r="Y140" s="26"/>
      <c r="Z140" s="26"/>
      <c r="AA140" s="28"/>
      <c r="AB140" s="28"/>
      <c r="AC140" s="38"/>
      <c r="AD140" s="48"/>
      <c r="AE140" s="26"/>
    </row>
    <row r="141" spans="1:31">
      <c r="A141" s="16" t="s">
        <v>986</v>
      </c>
      <c r="B141" s="20" t="s">
        <v>1351</v>
      </c>
      <c r="C141" s="17" t="s">
        <v>959</v>
      </c>
      <c r="D141" s="18" t="s">
        <v>72</v>
      </c>
      <c r="E141" s="21" t="s">
        <v>1352</v>
      </c>
      <c r="F141" s="20">
        <v>22</v>
      </c>
      <c r="G141" s="23">
        <v>0.18</v>
      </c>
      <c r="H141" s="20"/>
      <c r="I141" s="20"/>
      <c r="J141" s="23">
        <v>0.18</v>
      </c>
      <c r="K141" s="20"/>
      <c r="L141" s="20"/>
      <c r="M141" s="20"/>
      <c r="N141" s="20"/>
      <c r="O141" s="20"/>
      <c r="P141" s="23">
        <v>0.18</v>
      </c>
      <c r="Q141" s="20"/>
      <c r="R141" s="20"/>
      <c r="S141" s="20"/>
      <c r="T141" s="20"/>
      <c r="U141" s="23"/>
      <c r="V141" s="23"/>
      <c r="W141" s="20"/>
      <c r="X141" s="26"/>
      <c r="Y141" s="26"/>
      <c r="Z141" s="26"/>
      <c r="AA141" s="28"/>
      <c r="AB141" s="28"/>
      <c r="AC141" s="38"/>
      <c r="AD141" s="48"/>
      <c r="AE141" s="26"/>
    </row>
    <row r="142" spans="1:31">
      <c r="A142" s="16" t="s">
        <v>988</v>
      </c>
      <c r="B142" s="20" t="s">
        <v>1351</v>
      </c>
      <c r="C142" s="17" t="s">
        <v>959</v>
      </c>
      <c r="D142" s="18" t="s">
        <v>79</v>
      </c>
      <c r="E142" s="21" t="s">
        <v>1352</v>
      </c>
      <c r="F142" s="20">
        <v>23</v>
      </c>
      <c r="G142" s="23">
        <v>0.18</v>
      </c>
      <c r="H142" s="23">
        <v>0.12</v>
      </c>
      <c r="I142" s="20"/>
      <c r="J142" s="20"/>
      <c r="K142" s="20"/>
      <c r="L142" s="20"/>
      <c r="M142" s="20"/>
      <c r="N142" s="20"/>
      <c r="O142" s="20"/>
      <c r="P142" s="23">
        <v>0.18</v>
      </c>
      <c r="Q142" s="20"/>
      <c r="R142" s="20"/>
      <c r="S142" s="20"/>
      <c r="T142" s="20"/>
      <c r="U142" s="23"/>
      <c r="V142" s="23"/>
      <c r="W142" s="20"/>
      <c r="X142" s="26"/>
      <c r="Y142" s="26"/>
      <c r="Z142" s="26"/>
      <c r="AA142" s="28"/>
      <c r="AB142" s="28"/>
      <c r="AC142" s="38"/>
      <c r="AD142" s="48"/>
      <c r="AE142" s="26"/>
    </row>
    <row r="143" spans="1:31">
      <c r="A143" s="16" t="s">
        <v>990</v>
      </c>
      <c r="B143" s="20" t="s">
        <v>1351</v>
      </c>
      <c r="C143" s="17" t="s">
        <v>959</v>
      </c>
      <c r="D143" s="18" t="s">
        <v>23</v>
      </c>
      <c r="E143" s="21" t="s">
        <v>1352</v>
      </c>
      <c r="F143" s="20">
        <v>23</v>
      </c>
      <c r="G143" s="23">
        <v>0.18</v>
      </c>
      <c r="H143" s="23">
        <v>0.12</v>
      </c>
      <c r="I143" s="20"/>
      <c r="J143" s="20"/>
      <c r="K143" s="20"/>
      <c r="L143" s="20"/>
      <c r="M143" s="20"/>
      <c r="N143" s="20"/>
      <c r="O143" s="20"/>
      <c r="P143" s="23">
        <v>0.18</v>
      </c>
      <c r="Q143" s="20"/>
      <c r="R143" s="20"/>
      <c r="S143" s="20"/>
      <c r="T143" s="20"/>
      <c r="U143" s="23"/>
      <c r="V143" s="23"/>
      <c r="W143" s="20"/>
      <c r="X143" s="26"/>
      <c r="Y143" s="26"/>
      <c r="Z143" s="26"/>
      <c r="AA143" s="28"/>
      <c r="AB143" s="28"/>
      <c r="AC143" s="38"/>
      <c r="AD143" s="48"/>
      <c r="AE143" s="26"/>
    </row>
    <row r="144" spans="1:31">
      <c r="A144" s="16" t="s">
        <v>992</v>
      </c>
      <c r="B144" s="20" t="s">
        <v>1351</v>
      </c>
      <c r="C144" s="17" t="s">
        <v>959</v>
      </c>
      <c r="D144" s="18" t="s">
        <v>37</v>
      </c>
      <c r="E144" s="21" t="s">
        <v>1352</v>
      </c>
      <c r="F144" s="20">
        <v>23</v>
      </c>
      <c r="G144" s="23">
        <v>0.18</v>
      </c>
      <c r="H144" s="23">
        <v>0.12</v>
      </c>
      <c r="I144" s="20"/>
      <c r="J144" s="20"/>
      <c r="K144" s="20"/>
      <c r="L144" s="20"/>
      <c r="M144" s="20"/>
      <c r="N144" s="20"/>
      <c r="O144" s="20"/>
      <c r="P144" s="23">
        <v>0.18</v>
      </c>
      <c r="Q144" s="20"/>
      <c r="R144" s="20"/>
      <c r="S144" s="20"/>
      <c r="T144" s="20"/>
      <c r="U144" s="23"/>
      <c r="V144" s="23"/>
      <c r="W144" s="20"/>
      <c r="X144" s="26"/>
      <c r="Y144" s="26"/>
      <c r="Z144" s="26"/>
      <c r="AA144" s="28"/>
      <c r="AB144" s="28"/>
      <c r="AC144" s="38"/>
      <c r="AD144" s="48"/>
      <c r="AE144" s="26"/>
    </row>
    <row r="145" spans="1:31">
      <c r="A145" s="16" t="s">
        <v>994</v>
      </c>
      <c r="B145" s="20" t="s">
        <v>1351</v>
      </c>
      <c r="C145" s="17" t="s">
        <v>959</v>
      </c>
      <c r="D145" s="18" t="s">
        <v>10</v>
      </c>
      <c r="E145" s="21" t="s">
        <v>1352</v>
      </c>
      <c r="F145" s="20">
        <v>23</v>
      </c>
      <c r="G145" s="23">
        <v>0.18</v>
      </c>
      <c r="H145" s="23">
        <v>0.12</v>
      </c>
      <c r="I145" s="20"/>
      <c r="J145" s="20"/>
      <c r="K145" s="20"/>
      <c r="L145" s="20"/>
      <c r="M145" s="20"/>
      <c r="N145" s="20"/>
      <c r="O145" s="20"/>
      <c r="P145" s="23">
        <v>0.18</v>
      </c>
      <c r="Q145" s="20"/>
      <c r="R145" s="20"/>
      <c r="S145" s="20"/>
      <c r="T145" s="20"/>
      <c r="U145" s="23"/>
      <c r="V145" s="23"/>
      <c r="W145" s="20"/>
      <c r="X145" s="26"/>
      <c r="Y145" s="26"/>
      <c r="Z145" s="26"/>
      <c r="AA145" s="28"/>
      <c r="AB145" s="28"/>
      <c r="AC145" s="38"/>
      <c r="AD145" s="48"/>
      <c r="AE145" s="26"/>
    </row>
    <row r="146" spans="1:31">
      <c r="A146" s="16" t="s">
        <v>996</v>
      </c>
      <c r="B146" s="20" t="s">
        <v>1351</v>
      </c>
      <c r="C146" s="17" t="s">
        <v>959</v>
      </c>
      <c r="D146" s="18" t="s">
        <v>43</v>
      </c>
      <c r="E146" s="21" t="s">
        <v>1352</v>
      </c>
      <c r="F146" s="20">
        <v>23</v>
      </c>
      <c r="G146" s="23">
        <v>0.18</v>
      </c>
      <c r="H146" s="23">
        <v>0.12</v>
      </c>
      <c r="I146" s="20"/>
      <c r="J146" s="20"/>
      <c r="K146" s="20"/>
      <c r="L146" s="20"/>
      <c r="M146" s="20"/>
      <c r="N146" s="20"/>
      <c r="O146" s="20"/>
      <c r="P146" s="23">
        <v>0.18</v>
      </c>
      <c r="Q146" s="20"/>
      <c r="R146" s="20"/>
      <c r="S146" s="20"/>
      <c r="T146" s="20"/>
      <c r="U146" s="23"/>
      <c r="V146" s="23"/>
      <c r="W146" s="20"/>
      <c r="X146" s="26"/>
      <c r="Y146" s="26"/>
      <c r="Z146" s="26"/>
      <c r="AA146" s="28"/>
      <c r="AB146" s="28"/>
      <c r="AC146" s="38"/>
      <c r="AD146" s="48"/>
      <c r="AE146" s="26"/>
    </row>
    <row r="147" spans="1:31">
      <c r="A147" s="16" t="s">
        <v>998</v>
      </c>
      <c r="B147" s="20" t="s">
        <v>1351</v>
      </c>
      <c r="C147" s="17" t="s">
        <v>959</v>
      </c>
      <c r="D147" s="18" t="s">
        <v>72</v>
      </c>
      <c r="E147" s="21" t="s">
        <v>1352</v>
      </c>
      <c r="F147" s="20">
        <v>23</v>
      </c>
      <c r="G147" s="23">
        <v>0.18</v>
      </c>
      <c r="H147" s="23">
        <v>0.12</v>
      </c>
      <c r="I147" s="20"/>
      <c r="J147" s="20"/>
      <c r="K147" s="20"/>
      <c r="L147" s="20"/>
      <c r="M147" s="20"/>
      <c r="N147" s="20"/>
      <c r="O147" s="20"/>
      <c r="P147" s="23">
        <v>0.18</v>
      </c>
      <c r="Q147" s="20"/>
      <c r="R147" s="20"/>
      <c r="S147" s="20"/>
      <c r="T147" s="20"/>
      <c r="U147" s="23"/>
      <c r="V147" s="23"/>
      <c r="W147" s="20"/>
      <c r="X147" s="26"/>
      <c r="Y147" s="26"/>
      <c r="Z147" s="26"/>
      <c r="AA147" s="28"/>
      <c r="AB147" s="28"/>
      <c r="AC147" s="38"/>
      <c r="AD147" s="48"/>
      <c r="AE147" s="26"/>
    </row>
    <row r="148" spans="1:31">
      <c r="A148" s="16" t="s">
        <v>74</v>
      </c>
      <c r="B148" s="18" t="s">
        <v>1357</v>
      </c>
      <c r="C148" s="17" t="s">
        <v>959</v>
      </c>
      <c r="D148" s="18" t="s">
        <v>1358</v>
      </c>
      <c r="E148" s="20" t="s">
        <v>1355</v>
      </c>
      <c r="F148" s="20">
        <v>16</v>
      </c>
      <c r="G148" s="23" t="s">
        <v>1395</v>
      </c>
      <c r="H148" s="23" t="s">
        <v>1395</v>
      </c>
      <c r="I148" s="23" t="s">
        <v>1395</v>
      </c>
      <c r="J148" s="23" t="s">
        <v>1395</v>
      </c>
      <c r="K148" s="23">
        <v>0.96</v>
      </c>
      <c r="L148" s="23" t="s">
        <v>1395</v>
      </c>
      <c r="M148" s="23" t="s">
        <v>1395</v>
      </c>
      <c r="N148" s="23" t="s">
        <v>1395</v>
      </c>
      <c r="O148" s="23" t="s">
        <v>1395</v>
      </c>
      <c r="P148" s="23" t="s">
        <v>1395</v>
      </c>
      <c r="Q148" s="23" t="s">
        <v>1395</v>
      </c>
      <c r="R148" s="23" t="s">
        <v>1395</v>
      </c>
      <c r="S148" s="23" t="s">
        <v>1395</v>
      </c>
      <c r="T148" s="23" t="s">
        <v>1395</v>
      </c>
      <c r="U148" s="23" t="s">
        <v>1395</v>
      </c>
      <c r="V148" s="23" t="s">
        <v>1395</v>
      </c>
      <c r="W148" s="23" t="s">
        <v>1395</v>
      </c>
      <c r="X148" s="23" t="str">
        <f t="shared" ref="X148:AD148" si="0">IF(X24/11*6=0,"",X24/11*6)</f>
        <v/>
      </c>
      <c r="Y148" s="23" t="str">
        <f t="shared" si="0"/>
        <v/>
      </c>
      <c r="Z148" s="23" t="str">
        <f t="shared" si="0"/>
        <v/>
      </c>
      <c r="AA148" s="23" t="str">
        <f t="shared" si="0"/>
        <v/>
      </c>
      <c r="AB148" s="23" t="str">
        <f t="shared" si="0"/>
        <v/>
      </c>
      <c r="AC148" s="23" t="str">
        <f t="shared" si="0"/>
        <v/>
      </c>
      <c r="AD148" s="23" t="str">
        <f t="shared" si="0"/>
        <v/>
      </c>
      <c r="AE148" s="26"/>
    </row>
    <row r="149" spans="1:31">
      <c r="A149" s="16" t="s">
        <v>75</v>
      </c>
      <c r="B149" s="18" t="s">
        <v>1357</v>
      </c>
      <c r="C149" s="17" t="s">
        <v>959</v>
      </c>
      <c r="D149" s="18" t="s">
        <v>72</v>
      </c>
      <c r="E149" s="20" t="s">
        <v>1359</v>
      </c>
      <c r="F149" s="20">
        <v>18</v>
      </c>
      <c r="G149" s="23">
        <v>0.24</v>
      </c>
      <c r="H149" s="23" t="s">
        <v>1395</v>
      </c>
      <c r="I149" s="23" t="s">
        <v>1395</v>
      </c>
      <c r="J149" s="23" t="s">
        <v>1395</v>
      </c>
      <c r="K149" s="23" t="s">
        <v>1395</v>
      </c>
      <c r="L149" s="23">
        <v>0.48</v>
      </c>
      <c r="M149" s="23" t="s">
        <v>1395</v>
      </c>
      <c r="N149" s="23" t="s">
        <v>1395</v>
      </c>
      <c r="O149" s="23" t="s">
        <v>1395</v>
      </c>
      <c r="P149" s="23" t="s">
        <v>1395</v>
      </c>
      <c r="Q149" s="23" t="s">
        <v>1395</v>
      </c>
      <c r="R149" s="23" t="s">
        <v>1395</v>
      </c>
      <c r="S149" s="23" t="s">
        <v>1395</v>
      </c>
      <c r="T149" s="23" t="s">
        <v>1395</v>
      </c>
      <c r="U149" s="23" t="s">
        <v>1395</v>
      </c>
      <c r="V149" s="23" t="s">
        <v>1395</v>
      </c>
      <c r="W149" s="23" t="s">
        <v>1395</v>
      </c>
      <c r="X149" s="23" t="str">
        <f t="shared" ref="X149:AD149" si="1">IF(X25/11*6=0,"",X25/11*6)</f>
        <v/>
      </c>
      <c r="Y149" s="23" t="str">
        <f t="shared" si="1"/>
        <v/>
      </c>
      <c r="Z149" s="23" t="str">
        <f t="shared" si="1"/>
        <v/>
      </c>
      <c r="AA149" s="23" t="str">
        <f t="shared" si="1"/>
        <v/>
      </c>
      <c r="AB149" s="23" t="str">
        <f t="shared" si="1"/>
        <v/>
      </c>
      <c r="AC149" s="23" t="str">
        <f t="shared" si="1"/>
        <v/>
      </c>
      <c r="AD149" s="23" t="str">
        <f t="shared" si="1"/>
        <v/>
      </c>
      <c r="AE149" s="26"/>
    </row>
    <row r="150" spans="1:31">
      <c r="A150" s="16" t="s">
        <v>39</v>
      </c>
      <c r="B150" s="18" t="s">
        <v>1357</v>
      </c>
      <c r="C150" s="17" t="s">
        <v>959</v>
      </c>
      <c r="D150" s="18" t="s">
        <v>37</v>
      </c>
      <c r="E150" s="20" t="s">
        <v>1359</v>
      </c>
      <c r="F150" s="20">
        <v>16</v>
      </c>
      <c r="G150" s="23" t="s">
        <v>1395</v>
      </c>
      <c r="H150" s="23" t="s">
        <v>1395</v>
      </c>
      <c r="I150" s="23" t="s">
        <v>1395</v>
      </c>
      <c r="J150" s="23">
        <v>0.3</v>
      </c>
      <c r="K150" s="23" t="s">
        <v>1395</v>
      </c>
      <c r="L150" s="23">
        <v>0.48</v>
      </c>
      <c r="M150" s="23" t="s">
        <v>1395</v>
      </c>
      <c r="N150" s="23" t="s">
        <v>1395</v>
      </c>
      <c r="O150" s="23" t="s">
        <v>1395</v>
      </c>
      <c r="P150" s="23" t="s">
        <v>1395</v>
      </c>
      <c r="Q150" s="23" t="s">
        <v>1395</v>
      </c>
      <c r="R150" s="23" t="s">
        <v>1395</v>
      </c>
      <c r="S150" s="23" t="s">
        <v>1395</v>
      </c>
      <c r="T150" s="23" t="s">
        <v>1395</v>
      </c>
      <c r="U150" s="23" t="s">
        <v>1395</v>
      </c>
      <c r="V150" s="23" t="s">
        <v>1395</v>
      </c>
      <c r="W150" s="23" t="s">
        <v>1395</v>
      </c>
      <c r="X150" s="23" t="str">
        <f t="shared" ref="X150:AD150" si="2">IF(X26/11*6=0,"",X26/11*6)</f>
        <v/>
      </c>
      <c r="Y150" s="23" t="str">
        <f t="shared" si="2"/>
        <v/>
      </c>
      <c r="Z150" s="23" t="str">
        <f t="shared" si="2"/>
        <v/>
      </c>
      <c r="AA150" s="23" t="str">
        <f t="shared" si="2"/>
        <v/>
      </c>
      <c r="AB150" s="23" t="str">
        <f t="shared" si="2"/>
        <v/>
      </c>
      <c r="AC150" s="23" t="str">
        <f t="shared" si="2"/>
        <v/>
      </c>
      <c r="AD150" s="23" t="str">
        <f t="shared" si="2"/>
        <v/>
      </c>
      <c r="AE150" s="26"/>
    </row>
    <row r="151" spans="1:31">
      <c r="A151" s="16" t="s">
        <v>12</v>
      </c>
      <c r="B151" s="18" t="s">
        <v>1357</v>
      </c>
      <c r="C151" s="17" t="s">
        <v>959</v>
      </c>
      <c r="D151" s="18" t="s">
        <v>1360</v>
      </c>
      <c r="E151" s="20" t="s">
        <v>1352</v>
      </c>
      <c r="F151" s="20">
        <v>18</v>
      </c>
      <c r="G151" s="23">
        <v>0.24</v>
      </c>
      <c r="H151" s="23" t="s">
        <v>1395</v>
      </c>
      <c r="I151" s="23" t="s">
        <v>1395</v>
      </c>
      <c r="J151" s="23" t="s">
        <v>1395</v>
      </c>
      <c r="K151" s="23">
        <v>0.48</v>
      </c>
      <c r="L151" s="23" t="s">
        <v>1395</v>
      </c>
      <c r="M151" s="23" t="s">
        <v>1395</v>
      </c>
      <c r="N151" s="23" t="s">
        <v>1395</v>
      </c>
      <c r="O151" s="23" t="s">
        <v>1395</v>
      </c>
      <c r="P151" s="23" t="s">
        <v>1395</v>
      </c>
      <c r="Q151" s="23" t="s">
        <v>1395</v>
      </c>
      <c r="R151" s="23" t="s">
        <v>1395</v>
      </c>
      <c r="S151" s="23" t="s">
        <v>1395</v>
      </c>
      <c r="T151" s="23" t="s">
        <v>1395</v>
      </c>
      <c r="U151" s="23" t="s">
        <v>1395</v>
      </c>
      <c r="V151" s="23" t="s">
        <v>1395</v>
      </c>
      <c r="W151" s="23" t="s">
        <v>1395</v>
      </c>
      <c r="X151" s="23" t="str">
        <f t="shared" ref="X151:AD151" si="3">IF(X27/11*6=0,"",X27/11*6)</f>
        <v/>
      </c>
      <c r="Y151" s="23" t="str">
        <f t="shared" si="3"/>
        <v/>
      </c>
      <c r="Z151" s="23" t="str">
        <f t="shared" si="3"/>
        <v/>
      </c>
      <c r="AA151" s="23" t="str">
        <f t="shared" si="3"/>
        <v/>
      </c>
      <c r="AB151" s="23" t="str">
        <f t="shared" si="3"/>
        <v/>
      </c>
      <c r="AC151" s="23" t="str">
        <f t="shared" si="3"/>
        <v/>
      </c>
      <c r="AD151" s="23" t="str">
        <f t="shared" si="3"/>
        <v/>
      </c>
      <c r="AE151" s="26"/>
    </row>
    <row r="152" spans="1:31">
      <c r="A152" s="16" t="s">
        <v>13</v>
      </c>
      <c r="B152" s="18" t="s">
        <v>1357</v>
      </c>
      <c r="C152" s="17" t="s">
        <v>959</v>
      </c>
      <c r="D152" s="18" t="s">
        <v>43</v>
      </c>
      <c r="E152" s="20" t="s">
        <v>1359</v>
      </c>
      <c r="F152" s="20">
        <v>16</v>
      </c>
      <c r="G152" s="23" t="s">
        <v>1395</v>
      </c>
      <c r="H152" s="23">
        <v>0.18</v>
      </c>
      <c r="I152" s="23" t="s">
        <v>1395</v>
      </c>
      <c r="J152" s="23" t="s">
        <v>1395</v>
      </c>
      <c r="K152" s="23" t="s">
        <v>1395</v>
      </c>
      <c r="L152" s="23" t="s">
        <v>1395</v>
      </c>
      <c r="M152" s="23" t="s">
        <v>1395</v>
      </c>
      <c r="N152" s="23" t="s">
        <v>1395</v>
      </c>
      <c r="O152" s="23">
        <v>0.24</v>
      </c>
      <c r="P152" s="23" t="s">
        <v>1395</v>
      </c>
      <c r="Q152" s="23" t="s">
        <v>1395</v>
      </c>
      <c r="R152" s="23" t="s">
        <v>1395</v>
      </c>
      <c r="S152" s="23" t="s">
        <v>1395</v>
      </c>
      <c r="T152" s="23" t="s">
        <v>1395</v>
      </c>
      <c r="U152" s="23" t="s">
        <v>1395</v>
      </c>
      <c r="V152" s="23" t="s">
        <v>1395</v>
      </c>
      <c r="W152" s="23" t="s">
        <v>1395</v>
      </c>
      <c r="X152" s="23" t="str">
        <f t="shared" ref="X152:AD152" si="4">IF(X28/11*6=0,"",X28/11*6)</f>
        <v/>
      </c>
      <c r="Y152" s="23" t="str">
        <f t="shared" si="4"/>
        <v/>
      </c>
      <c r="Z152" s="23" t="str">
        <f t="shared" si="4"/>
        <v/>
      </c>
      <c r="AA152" s="23" t="str">
        <f t="shared" si="4"/>
        <v/>
      </c>
      <c r="AB152" s="23" t="str">
        <f t="shared" si="4"/>
        <v/>
      </c>
      <c r="AC152" s="23" t="str">
        <f t="shared" si="4"/>
        <v/>
      </c>
      <c r="AD152" s="23" t="str">
        <f t="shared" si="4"/>
        <v/>
      </c>
      <c r="AE152" s="26"/>
    </row>
    <row r="153" spans="1:31">
      <c r="A153" s="16" t="s">
        <v>25</v>
      </c>
      <c r="B153" s="18" t="s">
        <v>1357</v>
      </c>
      <c r="C153" s="17" t="s">
        <v>959</v>
      </c>
      <c r="D153" s="18" t="s">
        <v>23</v>
      </c>
      <c r="E153" s="20" t="s">
        <v>1359</v>
      </c>
      <c r="F153" s="20">
        <v>16</v>
      </c>
      <c r="G153" s="23">
        <v>0.24</v>
      </c>
      <c r="H153" s="23" t="s">
        <v>1395</v>
      </c>
      <c r="I153" s="23" t="s">
        <v>1395</v>
      </c>
      <c r="J153" s="23" t="s">
        <v>1395</v>
      </c>
      <c r="K153" s="23" t="s">
        <v>1395</v>
      </c>
      <c r="L153" s="23" t="s">
        <v>1395</v>
      </c>
      <c r="M153" s="23" t="s">
        <v>1395</v>
      </c>
      <c r="N153" s="23" t="s">
        <v>1395</v>
      </c>
      <c r="O153" s="23">
        <v>0.24</v>
      </c>
      <c r="P153" s="23" t="s">
        <v>1395</v>
      </c>
      <c r="Q153" s="23" t="s">
        <v>1395</v>
      </c>
      <c r="R153" s="23" t="s">
        <v>1395</v>
      </c>
      <c r="S153" s="23" t="s">
        <v>1395</v>
      </c>
      <c r="T153" s="23" t="s">
        <v>1395</v>
      </c>
      <c r="U153" s="23" t="s">
        <v>1395</v>
      </c>
      <c r="V153" s="23" t="s">
        <v>1395</v>
      </c>
      <c r="W153" s="23" t="s">
        <v>1395</v>
      </c>
      <c r="X153" s="23" t="str">
        <f t="shared" ref="X153:AD153" si="5">IF(X29/11*6=0,"",X29/11*6)</f>
        <v/>
      </c>
      <c r="Y153" s="23" t="str">
        <f t="shared" si="5"/>
        <v/>
      </c>
      <c r="Z153" s="23" t="str">
        <f t="shared" si="5"/>
        <v/>
      </c>
      <c r="AA153" s="23" t="str">
        <f t="shared" si="5"/>
        <v/>
      </c>
      <c r="AB153" s="23" t="str">
        <f t="shared" si="5"/>
        <v/>
      </c>
      <c r="AC153" s="23" t="str">
        <f t="shared" si="5"/>
        <v/>
      </c>
      <c r="AD153" s="23" t="str">
        <f t="shared" si="5"/>
        <v/>
      </c>
      <c r="AE153" s="26"/>
    </row>
    <row r="154" spans="1:31">
      <c r="A154" s="19" t="s">
        <v>1041</v>
      </c>
      <c r="B154" s="18" t="s">
        <v>1357</v>
      </c>
      <c r="C154" s="17" t="s">
        <v>959</v>
      </c>
      <c r="D154" s="18" t="s">
        <v>37</v>
      </c>
      <c r="E154" s="20" t="s">
        <v>1361</v>
      </c>
      <c r="F154" s="20">
        <v>18</v>
      </c>
      <c r="G154" s="23" t="s">
        <v>1395</v>
      </c>
      <c r="H154" s="23">
        <v>0.18</v>
      </c>
      <c r="I154" s="23" t="s">
        <v>1395</v>
      </c>
      <c r="J154" s="23" t="s">
        <v>1395</v>
      </c>
      <c r="K154" s="23">
        <v>0.48</v>
      </c>
      <c r="L154" s="23" t="s">
        <v>1395</v>
      </c>
      <c r="M154" s="23" t="s">
        <v>1395</v>
      </c>
      <c r="N154" s="23" t="s">
        <v>1395</v>
      </c>
      <c r="O154" s="23" t="s">
        <v>1395</v>
      </c>
      <c r="P154" s="23" t="s">
        <v>1395</v>
      </c>
      <c r="Q154" s="23" t="s">
        <v>1395</v>
      </c>
      <c r="R154" s="23" t="s">
        <v>1395</v>
      </c>
      <c r="S154" s="23" t="s">
        <v>1395</v>
      </c>
      <c r="T154" s="23" t="s">
        <v>1395</v>
      </c>
      <c r="U154" s="23" t="s">
        <v>1395</v>
      </c>
      <c r="V154" s="23" t="s">
        <v>1395</v>
      </c>
      <c r="W154" s="23" t="s">
        <v>1395</v>
      </c>
      <c r="X154" s="23" t="str">
        <f t="shared" ref="X154:AD154" si="6">IF(X30/11*6=0,"",X30/11*6)</f>
        <v/>
      </c>
      <c r="Y154" s="23" t="str">
        <f t="shared" si="6"/>
        <v/>
      </c>
      <c r="Z154" s="23" t="str">
        <f t="shared" si="6"/>
        <v/>
      </c>
      <c r="AA154" s="23" t="str">
        <f t="shared" si="6"/>
        <v/>
      </c>
      <c r="AB154" s="23" t="str">
        <f t="shared" si="6"/>
        <v/>
      </c>
      <c r="AC154" s="23" t="str">
        <f t="shared" si="6"/>
        <v/>
      </c>
      <c r="AD154" s="23" t="str">
        <f t="shared" si="6"/>
        <v/>
      </c>
      <c r="AE154" s="26"/>
    </row>
    <row r="155" spans="1:31">
      <c r="A155" s="19" t="s">
        <v>1041</v>
      </c>
      <c r="B155" s="18" t="s">
        <v>1357</v>
      </c>
      <c r="C155" s="17" t="s">
        <v>959</v>
      </c>
      <c r="D155" s="18" t="s">
        <v>72</v>
      </c>
      <c r="E155" s="20" t="s">
        <v>1352</v>
      </c>
      <c r="F155" s="20">
        <v>18</v>
      </c>
      <c r="G155" s="23" t="s">
        <v>1395</v>
      </c>
      <c r="H155" s="23">
        <v>0.18</v>
      </c>
      <c r="I155" s="23" t="s">
        <v>1395</v>
      </c>
      <c r="J155" s="23" t="s">
        <v>1395</v>
      </c>
      <c r="K155" s="23">
        <v>0.48</v>
      </c>
      <c r="L155" s="23" t="s">
        <v>1395</v>
      </c>
      <c r="M155" s="23" t="s">
        <v>1395</v>
      </c>
      <c r="N155" s="23" t="s">
        <v>1395</v>
      </c>
      <c r="O155" s="23" t="s">
        <v>1395</v>
      </c>
      <c r="P155" s="23" t="s">
        <v>1395</v>
      </c>
      <c r="Q155" s="23" t="s">
        <v>1395</v>
      </c>
      <c r="R155" s="23" t="s">
        <v>1395</v>
      </c>
      <c r="S155" s="23" t="s">
        <v>1395</v>
      </c>
      <c r="T155" s="23" t="s">
        <v>1395</v>
      </c>
      <c r="U155" s="23" t="s">
        <v>1395</v>
      </c>
      <c r="V155" s="23" t="s">
        <v>1395</v>
      </c>
      <c r="W155" s="23" t="s">
        <v>1395</v>
      </c>
      <c r="X155" s="23" t="str">
        <f t="shared" ref="X155:AD155" si="7">IF(X31/11*6=0,"",X31/11*6)</f>
        <v/>
      </c>
      <c r="Y155" s="23" t="str">
        <f t="shared" si="7"/>
        <v/>
      </c>
      <c r="Z155" s="23" t="str">
        <f t="shared" si="7"/>
        <v/>
      </c>
      <c r="AA155" s="23" t="str">
        <f t="shared" si="7"/>
        <v/>
      </c>
      <c r="AB155" s="23" t="str">
        <f t="shared" si="7"/>
        <v/>
      </c>
      <c r="AC155" s="23" t="str">
        <f t="shared" si="7"/>
        <v/>
      </c>
      <c r="AD155" s="23" t="str">
        <f t="shared" si="7"/>
        <v/>
      </c>
      <c r="AE155" s="26"/>
    </row>
    <row r="156" spans="1:31">
      <c r="A156" s="22" t="s">
        <v>81</v>
      </c>
      <c r="B156" s="18" t="s">
        <v>1357</v>
      </c>
      <c r="C156" s="17" t="s">
        <v>959</v>
      </c>
      <c r="D156" s="18" t="s">
        <v>1362</v>
      </c>
      <c r="E156" s="20" t="s">
        <v>1361</v>
      </c>
      <c r="F156" s="20">
        <v>15</v>
      </c>
      <c r="G156" s="23" t="s">
        <v>1395</v>
      </c>
      <c r="H156" s="23" t="s">
        <v>1395</v>
      </c>
      <c r="I156" s="23" t="s">
        <v>1395</v>
      </c>
      <c r="J156" s="23" t="s">
        <v>1395</v>
      </c>
      <c r="K156" s="23">
        <v>0.48</v>
      </c>
      <c r="L156" s="23" t="s">
        <v>1395</v>
      </c>
      <c r="M156" s="23" t="s">
        <v>1395</v>
      </c>
      <c r="N156" s="23" t="s">
        <v>1395</v>
      </c>
      <c r="O156" s="23" t="s">
        <v>1395</v>
      </c>
      <c r="P156" s="23" t="s">
        <v>1395</v>
      </c>
      <c r="Q156" s="23" t="s">
        <v>1395</v>
      </c>
      <c r="R156" s="23" t="s">
        <v>1395</v>
      </c>
      <c r="S156" s="23" t="s">
        <v>1395</v>
      </c>
      <c r="T156" s="23" t="s">
        <v>1395</v>
      </c>
      <c r="U156" s="23" t="s">
        <v>1395</v>
      </c>
      <c r="V156" s="23">
        <v>0.12</v>
      </c>
      <c r="W156" s="23" t="s">
        <v>1395</v>
      </c>
      <c r="X156" s="23" t="str">
        <f t="shared" ref="X156:AD156" si="8">IF(X32/11*6=0,"",X32/11*6)</f>
        <v/>
      </c>
      <c r="Y156" s="23" t="str">
        <f t="shared" si="8"/>
        <v/>
      </c>
      <c r="Z156" s="23" t="str">
        <f t="shared" si="8"/>
        <v/>
      </c>
      <c r="AA156" s="23" t="str">
        <f t="shared" si="8"/>
        <v/>
      </c>
      <c r="AB156" s="23" t="str">
        <f t="shared" si="8"/>
        <v/>
      </c>
      <c r="AC156" s="23" t="str">
        <f t="shared" si="8"/>
        <v/>
      </c>
      <c r="AD156" s="23" t="str">
        <f t="shared" si="8"/>
        <v/>
      </c>
      <c r="AE156" s="26"/>
    </row>
    <row r="157" spans="1:31">
      <c r="A157" s="22" t="s">
        <v>14</v>
      </c>
      <c r="B157" s="18" t="s">
        <v>1357</v>
      </c>
      <c r="C157" s="17" t="s">
        <v>959</v>
      </c>
      <c r="D157" s="18" t="s">
        <v>1363</v>
      </c>
      <c r="E157" s="20" t="s">
        <v>1361</v>
      </c>
      <c r="F157" s="20">
        <v>15</v>
      </c>
      <c r="G157" s="23" t="s">
        <v>1395</v>
      </c>
      <c r="H157" s="23" t="s">
        <v>1395</v>
      </c>
      <c r="I157" s="23" t="s">
        <v>1395</v>
      </c>
      <c r="J157" s="23" t="s">
        <v>1395</v>
      </c>
      <c r="K157" s="23">
        <v>0.48</v>
      </c>
      <c r="L157" s="23" t="s">
        <v>1395</v>
      </c>
      <c r="M157" s="23" t="s">
        <v>1395</v>
      </c>
      <c r="N157" s="23" t="s">
        <v>1395</v>
      </c>
      <c r="O157" s="23" t="s">
        <v>1395</v>
      </c>
      <c r="P157" s="23" t="s">
        <v>1395</v>
      </c>
      <c r="Q157" s="23" t="s">
        <v>1395</v>
      </c>
      <c r="R157" s="23" t="s">
        <v>1395</v>
      </c>
      <c r="S157" s="23" t="s">
        <v>1395</v>
      </c>
      <c r="T157" s="23" t="s">
        <v>1395</v>
      </c>
      <c r="U157" s="23" t="s">
        <v>1395</v>
      </c>
      <c r="V157" s="23" t="s">
        <v>1395</v>
      </c>
      <c r="W157" s="23">
        <v>0.04</v>
      </c>
      <c r="X157" s="23" t="str">
        <f t="shared" ref="X157:AD157" si="9">IF(X33/11*6=0,"",X33/11*6)</f>
        <v/>
      </c>
      <c r="Y157" s="23" t="str">
        <f t="shared" si="9"/>
        <v/>
      </c>
      <c r="Z157" s="23" t="str">
        <f t="shared" si="9"/>
        <v/>
      </c>
      <c r="AA157" s="23" t="str">
        <f t="shared" si="9"/>
        <v/>
      </c>
      <c r="AB157" s="23" t="str">
        <f t="shared" si="9"/>
        <v/>
      </c>
      <c r="AC157" s="23" t="str">
        <f t="shared" si="9"/>
        <v/>
      </c>
      <c r="AD157" s="23" t="str">
        <f t="shared" si="9"/>
        <v/>
      </c>
      <c r="AE157" s="26"/>
    </row>
    <row r="158" spans="1:31">
      <c r="A158" s="22" t="s">
        <v>15</v>
      </c>
      <c r="B158" s="18" t="s">
        <v>1357</v>
      </c>
      <c r="C158" s="17" t="s">
        <v>959</v>
      </c>
      <c r="D158" s="18" t="s">
        <v>1364</v>
      </c>
      <c r="E158" s="20" t="s">
        <v>1355</v>
      </c>
      <c r="F158" s="20">
        <v>16</v>
      </c>
      <c r="G158" s="23" t="s">
        <v>1395</v>
      </c>
      <c r="H158" s="23" t="s">
        <v>1395</v>
      </c>
      <c r="I158" s="23" t="s">
        <v>1395</v>
      </c>
      <c r="J158" s="23" t="s">
        <v>1395</v>
      </c>
      <c r="K158" s="23">
        <v>0.48</v>
      </c>
      <c r="L158" s="23" t="s">
        <v>1395</v>
      </c>
      <c r="M158" s="23" t="s">
        <v>1395</v>
      </c>
      <c r="N158" s="23">
        <v>0.48</v>
      </c>
      <c r="O158" s="23" t="s">
        <v>1395</v>
      </c>
      <c r="P158" s="23" t="s">
        <v>1395</v>
      </c>
      <c r="Q158" s="23" t="s">
        <v>1395</v>
      </c>
      <c r="R158" s="23" t="s">
        <v>1395</v>
      </c>
      <c r="S158" s="23" t="s">
        <v>1395</v>
      </c>
      <c r="T158" s="23" t="s">
        <v>1395</v>
      </c>
      <c r="U158" s="23" t="s">
        <v>1395</v>
      </c>
      <c r="V158" s="23" t="s">
        <v>1395</v>
      </c>
      <c r="W158" s="23" t="s">
        <v>1395</v>
      </c>
      <c r="X158" s="23" t="str">
        <f t="shared" ref="X158:AD158" si="10">IF(X34/11*6=0,"",X34/11*6)</f>
        <v/>
      </c>
      <c r="Y158" s="23" t="str">
        <f t="shared" si="10"/>
        <v/>
      </c>
      <c r="Z158" s="23" t="str">
        <f t="shared" si="10"/>
        <v/>
      </c>
      <c r="AA158" s="23" t="str">
        <f t="shared" si="10"/>
        <v/>
      </c>
      <c r="AB158" s="23" t="str">
        <f t="shared" si="10"/>
        <v/>
      </c>
      <c r="AC158" s="23" t="str">
        <f t="shared" si="10"/>
        <v/>
      </c>
      <c r="AD158" s="23" t="str">
        <f t="shared" si="10"/>
        <v/>
      </c>
      <c r="AE158" s="26"/>
    </row>
    <row r="159" spans="1:31">
      <c r="A159" s="22" t="s">
        <v>26</v>
      </c>
      <c r="B159" s="18" t="s">
        <v>1357</v>
      </c>
      <c r="C159" s="17" t="s">
        <v>959</v>
      </c>
      <c r="D159" s="18" t="s">
        <v>1365</v>
      </c>
      <c r="E159" s="20" t="s">
        <v>1361</v>
      </c>
      <c r="F159" s="20">
        <v>16</v>
      </c>
      <c r="G159" s="23" t="s">
        <v>1395</v>
      </c>
      <c r="H159" s="23" t="s">
        <v>1395</v>
      </c>
      <c r="I159" s="23" t="s">
        <v>1395</v>
      </c>
      <c r="J159" s="23">
        <v>0.3</v>
      </c>
      <c r="K159" s="23">
        <v>0.48</v>
      </c>
      <c r="L159" s="23" t="s">
        <v>1395</v>
      </c>
      <c r="M159" s="23" t="s">
        <v>1395</v>
      </c>
      <c r="N159" s="23" t="s">
        <v>1395</v>
      </c>
      <c r="O159" s="23" t="s">
        <v>1395</v>
      </c>
      <c r="P159" s="23" t="s">
        <v>1395</v>
      </c>
      <c r="Q159" s="23" t="s">
        <v>1395</v>
      </c>
      <c r="R159" s="23" t="s">
        <v>1395</v>
      </c>
      <c r="S159" s="23" t="s">
        <v>1395</v>
      </c>
      <c r="T159" s="23" t="s">
        <v>1395</v>
      </c>
      <c r="U159" s="23" t="s">
        <v>1395</v>
      </c>
      <c r="V159" s="23" t="s">
        <v>1395</v>
      </c>
      <c r="W159" s="23" t="s">
        <v>1395</v>
      </c>
      <c r="X159" s="23" t="str">
        <f t="shared" ref="X159:AD159" si="11">IF(X35/11*6=0,"",X35/11*6)</f>
        <v/>
      </c>
      <c r="Y159" s="23" t="str">
        <f t="shared" si="11"/>
        <v/>
      </c>
      <c r="Z159" s="23" t="str">
        <f t="shared" si="11"/>
        <v/>
      </c>
      <c r="AA159" s="23" t="str">
        <f t="shared" si="11"/>
        <v/>
      </c>
      <c r="AB159" s="23" t="str">
        <f t="shared" si="11"/>
        <v/>
      </c>
      <c r="AC159" s="23" t="str">
        <f t="shared" si="11"/>
        <v/>
      </c>
      <c r="AD159" s="23" t="str">
        <f t="shared" si="11"/>
        <v/>
      </c>
      <c r="AE159" s="26"/>
    </row>
    <row r="160" spans="1:31">
      <c r="A160" s="22" t="s">
        <v>27</v>
      </c>
      <c r="B160" s="18" t="s">
        <v>1357</v>
      </c>
      <c r="C160" s="17" t="s">
        <v>959</v>
      </c>
      <c r="D160" s="18" t="s">
        <v>1366</v>
      </c>
      <c r="E160" s="20" t="s">
        <v>1352</v>
      </c>
      <c r="F160" s="20">
        <v>16</v>
      </c>
      <c r="G160" s="23" t="s">
        <v>1395</v>
      </c>
      <c r="H160" s="23" t="s">
        <v>1395</v>
      </c>
      <c r="I160" s="23">
        <v>0.12</v>
      </c>
      <c r="J160" s="23" t="s">
        <v>1395</v>
      </c>
      <c r="K160" s="23">
        <v>0.48</v>
      </c>
      <c r="L160" s="23" t="s">
        <v>1395</v>
      </c>
      <c r="M160" s="23" t="s">
        <v>1395</v>
      </c>
      <c r="N160" s="23" t="s">
        <v>1395</v>
      </c>
      <c r="O160" s="23" t="s">
        <v>1395</v>
      </c>
      <c r="P160" s="23" t="s">
        <v>1395</v>
      </c>
      <c r="Q160" s="23" t="s">
        <v>1395</v>
      </c>
      <c r="R160" s="23" t="s">
        <v>1395</v>
      </c>
      <c r="S160" s="23" t="s">
        <v>1395</v>
      </c>
      <c r="T160" s="23" t="s">
        <v>1395</v>
      </c>
      <c r="U160" s="23" t="s">
        <v>1395</v>
      </c>
      <c r="V160" s="23" t="s">
        <v>1395</v>
      </c>
      <c r="W160" s="23" t="s">
        <v>1395</v>
      </c>
      <c r="X160" s="23" t="str">
        <f t="shared" ref="X160:AD160" si="12">IF(X36/11*6=0,"",X36/11*6)</f>
        <v/>
      </c>
      <c r="Y160" s="23" t="str">
        <f t="shared" si="12"/>
        <v/>
      </c>
      <c r="Z160" s="23" t="str">
        <f t="shared" si="12"/>
        <v/>
      </c>
      <c r="AA160" s="23" t="str">
        <f t="shared" si="12"/>
        <v/>
      </c>
      <c r="AB160" s="23" t="str">
        <f t="shared" si="12"/>
        <v/>
      </c>
      <c r="AC160" s="23" t="str">
        <f t="shared" si="12"/>
        <v/>
      </c>
      <c r="AD160" s="23" t="str">
        <f t="shared" si="12"/>
        <v/>
      </c>
      <c r="AE160" s="26"/>
    </row>
    <row r="161" spans="1:31">
      <c r="A161" s="22" t="s">
        <v>28</v>
      </c>
      <c r="B161" s="18" t="s">
        <v>1357</v>
      </c>
      <c r="C161" s="17" t="s">
        <v>959</v>
      </c>
      <c r="D161" s="18" t="s">
        <v>1367</v>
      </c>
      <c r="E161" s="20" t="s">
        <v>1355</v>
      </c>
      <c r="F161" s="20">
        <v>16</v>
      </c>
      <c r="G161" s="23" t="s">
        <v>1395</v>
      </c>
      <c r="H161" s="23" t="s">
        <v>1395</v>
      </c>
      <c r="I161" s="23" t="s">
        <v>1395</v>
      </c>
      <c r="J161" s="23" t="s">
        <v>1395</v>
      </c>
      <c r="K161" s="23">
        <v>0.48</v>
      </c>
      <c r="L161" s="23">
        <v>0.48</v>
      </c>
      <c r="M161" s="23" t="s">
        <v>1395</v>
      </c>
      <c r="N161" s="23" t="s">
        <v>1395</v>
      </c>
      <c r="O161" s="23" t="s">
        <v>1395</v>
      </c>
      <c r="P161" s="23" t="s">
        <v>1395</v>
      </c>
      <c r="Q161" s="23" t="s">
        <v>1395</v>
      </c>
      <c r="R161" s="23" t="s">
        <v>1395</v>
      </c>
      <c r="S161" s="23" t="s">
        <v>1395</v>
      </c>
      <c r="T161" s="23" t="s">
        <v>1395</v>
      </c>
      <c r="U161" s="23" t="s">
        <v>1395</v>
      </c>
      <c r="V161" s="23" t="s">
        <v>1395</v>
      </c>
      <c r="W161" s="23" t="s">
        <v>1395</v>
      </c>
      <c r="X161" s="23" t="str">
        <f t="shared" ref="X161:AD161" si="13">IF(X37/11*6=0,"",X37/11*6)</f>
        <v/>
      </c>
      <c r="Y161" s="23" t="str">
        <f t="shared" si="13"/>
        <v/>
      </c>
      <c r="Z161" s="23" t="str">
        <f t="shared" si="13"/>
        <v/>
      </c>
      <c r="AA161" s="23" t="str">
        <f t="shared" si="13"/>
        <v/>
      </c>
      <c r="AB161" s="23" t="str">
        <f t="shared" si="13"/>
        <v/>
      </c>
      <c r="AC161" s="23" t="str">
        <f t="shared" si="13"/>
        <v/>
      </c>
      <c r="AD161" s="23" t="str">
        <f t="shared" si="13"/>
        <v/>
      </c>
      <c r="AE161" s="26"/>
    </row>
    <row r="162" spans="1:31">
      <c r="A162" s="22" t="s">
        <v>1048</v>
      </c>
      <c r="B162" s="18" t="s">
        <v>1357</v>
      </c>
      <c r="C162" s="17" t="s">
        <v>959</v>
      </c>
      <c r="D162" s="18" t="s">
        <v>10</v>
      </c>
      <c r="E162" s="20" t="s">
        <v>1359</v>
      </c>
      <c r="F162" s="20">
        <v>18</v>
      </c>
      <c r="G162" s="23" t="s">
        <v>1395</v>
      </c>
      <c r="H162" s="23">
        <v>0.18</v>
      </c>
      <c r="I162" s="23" t="s">
        <v>1395</v>
      </c>
      <c r="J162" s="23" t="s">
        <v>1395</v>
      </c>
      <c r="K162" s="23" t="s">
        <v>1395</v>
      </c>
      <c r="L162" s="23" t="s">
        <v>1395</v>
      </c>
      <c r="M162" s="23" t="s">
        <v>1395</v>
      </c>
      <c r="N162" s="23">
        <v>0.48</v>
      </c>
      <c r="O162" s="23" t="s">
        <v>1395</v>
      </c>
      <c r="P162" s="23" t="s">
        <v>1395</v>
      </c>
      <c r="Q162" s="23" t="s">
        <v>1395</v>
      </c>
      <c r="R162" s="23" t="s">
        <v>1395</v>
      </c>
      <c r="S162" s="23" t="s">
        <v>1395</v>
      </c>
      <c r="T162" s="23" t="s">
        <v>1395</v>
      </c>
      <c r="U162" s="23" t="s">
        <v>1395</v>
      </c>
      <c r="V162" s="23" t="s">
        <v>1395</v>
      </c>
      <c r="W162" s="23" t="s">
        <v>1395</v>
      </c>
      <c r="X162" s="23" t="str">
        <f t="shared" ref="X162:AD162" si="14">IF(X38/11*6=0,"",X38/11*6)</f>
        <v/>
      </c>
      <c r="Y162" s="23" t="str">
        <f t="shared" si="14"/>
        <v/>
      </c>
      <c r="Z162" s="23" t="str">
        <f t="shared" si="14"/>
        <v/>
      </c>
      <c r="AA162" s="23" t="str">
        <f t="shared" si="14"/>
        <v/>
      </c>
      <c r="AB162" s="23" t="str">
        <f t="shared" si="14"/>
        <v/>
      </c>
      <c r="AC162" s="23" t="str">
        <f t="shared" si="14"/>
        <v/>
      </c>
      <c r="AD162" s="23" t="str">
        <f t="shared" si="14"/>
        <v/>
      </c>
      <c r="AE162" s="26"/>
    </row>
    <row r="163" spans="1:31">
      <c r="A163" s="22" t="s">
        <v>82</v>
      </c>
      <c r="B163" s="18" t="s">
        <v>1357</v>
      </c>
      <c r="C163" s="17" t="s">
        <v>959</v>
      </c>
      <c r="D163" s="18" t="s">
        <v>79</v>
      </c>
      <c r="E163" s="20" t="s">
        <v>1361</v>
      </c>
      <c r="F163" s="20">
        <v>16</v>
      </c>
      <c r="G163" s="23" t="s">
        <v>1395</v>
      </c>
      <c r="H163" s="23" t="s">
        <v>1395</v>
      </c>
      <c r="I163" s="23">
        <v>0.12</v>
      </c>
      <c r="J163" s="23" t="s">
        <v>1395</v>
      </c>
      <c r="K163" s="23" t="s">
        <v>1395</v>
      </c>
      <c r="L163" s="23" t="s">
        <v>1395</v>
      </c>
      <c r="M163" s="23" t="s">
        <v>1395</v>
      </c>
      <c r="N163" s="23">
        <v>0.48</v>
      </c>
      <c r="O163" s="23" t="s">
        <v>1395</v>
      </c>
      <c r="P163" s="23" t="s">
        <v>1395</v>
      </c>
      <c r="Q163" s="23" t="s">
        <v>1395</v>
      </c>
      <c r="R163" s="23" t="s">
        <v>1395</v>
      </c>
      <c r="S163" s="23" t="s">
        <v>1395</v>
      </c>
      <c r="T163" s="23" t="s">
        <v>1395</v>
      </c>
      <c r="U163" s="23" t="s">
        <v>1395</v>
      </c>
      <c r="V163" s="23" t="s">
        <v>1395</v>
      </c>
      <c r="W163" s="23" t="s">
        <v>1395</v>
      </c>
      <c r="X163" s="23" t="str">
        <f t="shared" ref="X163:AD163" si="15">IF(X39/11*6=0,"",X39/11*6)</f>
        <v/>
      </c>
      <c r="Y163" s="23" t="str">
        <f t="shared" si="15"/>
        <v/>
      </c>
      <c r="Z163" s="23" t="str">
        <f t="shared" si="15"/>
        <v/>
      </c>
      <c r="AA163" s="23" t="str">
        <f t="shared" si="15"/>
        <v/>
      </c>
      <c r="AB163" s="23" t="str">
        <f t="shared" si="15"/>
        <v/>
      </c>
      <c r="AC163" s="23" t="str">
        <f t="shared" si="15"/>
        <v/>
      </c>
      <c r="AD163" s="23" t="str">
        <f t="shared" si="15"/>
        <v/>
      </c>
      <c r="AE163" s="27"/>
    </row>
    <row r="164" spans="1:31">
      <c r="A164" s="16" t="s">
        <v>1058</v>
      </c>
      <c r="B164" s="32" t="s">
        <v>1390</v>
      </c>
      <c r="C164" s="17" t="s">
        <v>959</v>
      </c>
      <c r="D164" s="18"/>
      <c r="E164" s="21" t="s">
        <v>1359</v>
      </c>
      <c r="F164" s="20">
        <v>15</v>
      </c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3">
        <v>0.18</v>
      </c>
      <c r="S164" s="20"/>
      <c r="T164" s="20"/>
      <c r="U164" s="23"/>
      <c r="V164" s="23"/>
      <c r="W164" s="20"/>
      <c r="X164" s="26"/>
      <c r="Y164" s="26"/>
      <c r="Z164" s="26"/>
      <c r="AA164" s="28"/>
      <c r="AB164" s="28"/>
      <c r="AC164" s="38"/>
      <c r="AD164" s="23" t="str">
        <f t="shared" ref="AD164:AD184" si="16">IF(AD40/11*6=0,"",AD40/11*6)</f>
        <v/>
      </c>
      <c r="AE164" s="27"/>
    </row>
    <row r="165" spans="1:31">
      <c r="A165" s="16" t="s">
        <v>1060</v>
      </c>
      <c r="B165" s="32" t="s">
        <v>1390</v>
      </c>
      <c r="C165" s="17" t="s">
        <v>959</v>
      </c>
      <c r="D165" s="18"/>
      <c r="E165" s="21" t="s">
        <v>1359</v>
      </c>
      <c r="F165" s="20">
        <v>15</v>
      </c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3">
        <v>0.18</v>
      </c>
      <c r="S165" s="20"/>
      <c r="T165" s="20"/>
      <c r="U165" s="23"/>
      <c r="V165" s="23"/>
      <c r="W165" s="20"/>
      <c r="X165" s="26"/>
      <c r="Y165" s="26"/>
      <c r="Z165" s="26"/>
      <c r="AA165" s="28"/>
      <c r="AB165" s="28"/>
      <c r="AC165" s="38"/>
      <c r="AD165" s="23" t="str">
        <f t="shared" si="16"/>
        <v/>
      </c>
      <c r="AE165" s="27"/>
    </row>
    <row r="166" spans="1:31">
      <c r="A166" s="16" t="s">
        <v>1062</v>
      </c>
      <c r="B166" s="32" t="s">
        <v>1390</v>
      </c>
      <c r="C166" s="17" t="s">
        <v>959</v>
      </c>
      <c r="D166" s="18"/>
      <c r="E166" s="21" t="s">
        <v>1359</v>
      </c>
      <c r="F166" s="20">
        <v>15</v>
      </c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3">
        <v>0.18</v>
      </c>
      <c r="S166" s="20"/>
      <c r="T166" s="20"/>
      <c r="U166" s="23"/>
      <c r="V166" s="23"/>
      <c r="W166" s="20"/>
      <c r="X166" s="26"/>
      <c r="Y166" s="26"/>
      <c r="Z166" s="26"/>
      <c r="AA166" s="28"/>
      <c r="AB166" s="28"/>
      <c r="AC166" s="38"/>
      <c r="AD166" s="23" t="str">
        <f t="shared" si="16"/>
        <v/>
      </c>
      <c r="AE166" s="27"/>
    </row>
    <row r="167" spans="1:31">
      <c r="A167" s="16" t="s">
        <v>1064</v>
      </c>
      <c r="B167" s="32" t="s">
        <v>1390</v>
      </c>
      <c r="C167" s="17" t="s">
        <v>959</v>
      </c>
      <c r="D167" s="18"/>
      <c r="E167" s="21" t="s">
        <v>1359</v>
      </c>
      <c r="F167" s="20">
        <v>15</v>
      </c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3">
        <v>0.18</v>
      </c>
      <c r="S167" s="20"/>
      <c r="T167" s="20"/>
      <c r="U167" s="23"/>
      <c r="V167" s="23"/>
      <c r="W167" s="20"/>
      <c r="X167" s="26"/>
      <c r="Y167" s="26"/>
      <c r="Z167" s="26"/>
      <c r="AA167" s="28"/>
      <c r="AB167" s="28"/>
      <c r="AC167" s="38"/>
      <c r="AD167" s="23" t="str">
        <f t="shared" si="16"/>
        <v/>
      </c>
      <c r="AE167" s="27"/>
    </row>
    <row r="168" spans="1:31">
      <c r="A168" s="16" t="s">
        <v>1066</v>
      </c>
      <c r="B168" s="32" t="s">
        <v>1390</v>
      </c>
      <c r="C168" s="17" t="s">
        <v>959</v>
      </c>
      <c r="D168" s="18"/>
      <c r="E168" s="21" t="s">
        <v>1359</v>
      </c>
      <c r="F168" s="20">
        <v>15</v>
      </c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3">
        <v>0.18</v>
      </c>
      <c r="S168" s="20"/>
      <c r="T168" s="20"/>
      <c r="U168" s="23"/>
      <c r="V168" s="23"/>
      <c r="W168" s="20"/>
      <c r="X168" s="26"/>
      <c r="Y168" s="26"/>
      <c r="Z168" s="26"/>
      <c r="AA168" s="28"/>
      <c r="AB168" s="28"/>
      <c r="AC168" s="38"/>
      <c r="AD168" s="23" t="str">
        <f t="shared" si="16"/>
        <v/>
      </c>
      <c r="AE168" s="27"/>
    </row>
    <row r="169" spans="1:31">
      <c r="A169" s="16" t="s">
        <v>1068</v>
      </c>
      <c r="B169" s="32" t="s">
        <v>1390</v>
      </c>
      <c r="C169" s="17" t="s">
        <v>959</v>
      </c>
      <c r="D169" s="18"/>
      <c r="E169" s="21" t="s">
        <v>1359</v>
      </c>
      <c r="F169" s="20">
        <v>15</v>
      </c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3">
        <v>0.18</v>
      </c>
      <c r="S169" s="20"/>
      <c r="T169" s="20"/>
      <c r="U169" s="23"/>
      <c r="V169" s="23"/>
      <c r="W169" s="20"/>
      <c r="X169" s="26"/>
      <c r="Y169" s="26"/>
      <c r="Z169" s="26"/>
      <c r="AA169" s="28"/>
      <c r="AB169" s="28"/>
      <c r="AC169" s="38"/>
      <c r="AD169" s="23" t="str">
        <f t="shared" si="16"/>
        <v/>
      </c>
      <c r="AE169" s="27"/>
    </row>
    <row r="170" spans="1:31">
      <c r="A170" s="16" t="s">
        <v>1070</v>
      </c>
      <c r="B170" s="32" t="s">
        <v>1390</v>
      </c>
      <c r="C170" s="17" t="s">
        <v>959</v>
      </c>
      <c r="D170" s="18"/>
      <c r="E170" s="21" t="s">
        <v>1359</v>
      </c>
      <c r="F170" s="20">
        <v>15</v>
      </c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3">
        <v>0.18</v>
      </c>
      <c r="S170" s="20"/>
      <c r="T170" s="20"/>
      <c r="U170" s="23"/>
      <c r="V170" s="23"/>
      <c r="W170" s="20"/>
      <c r="X170" s="26"/>
      <c r="Y170" s="26"/>
      <c r="Z170" s="26"/>
      <c r="AA170" s="28"/>
      <c r="AB170" s="28"/>
      <c r="AC170" s="38"/>
      <c r="AD170" s="23" t="str">
        <f t="shared" si="16"/>
        <v/>
      </c>
      <c r="AE170" s="27"/>
    </row>
    <row r="171" spans="1:31">
      <c r="A171" s="16" t="s">
        <v>1072</v>
      </c>
      <c r="B171" s="32" t="s">
        <v>1390</v>
      </c>
      <c r="C171" s="17" t="s">
        <v>959</v>
      </c>
      <c r="D171" s="18"/>
      <c r="E171" s="21" t="s">
        <v>1359</v>
      </c>
      <c r="F171" s="20">
        <v>15</v>
      </c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3">
        <v>0.18</v>
      </c>
      <c r="S171" s="20"/>
      <c r="T171" s="20"/>
      <c r="U171" s="23"/>
      <c r="V171" s="23"/>
      <c r="W171" s="20"/>
      <c r="X171" s="26"/>
      <c r="Y171" s="26"/>
      <c r="Z171" s="26"/>
      <c r="AA171" s="28"/>
      <c r="AB171" s="28"/>
      <c r="AC171" s="38"/>
      <c r="AD171" s="23" t="str">
        <f t="shared" si="16"/>
        <v/>
      </c>
      <c r="AE171" s="27"/>
    </row>
    <row r="172" spans="1:31">
      <c r="A172" s="16" t="s">
        <v>1074</v>
      </c>
      <c r="B172" s="32" t="s">
        <v>1390</v>
      </c>
      <c r="C172" s="17" t="s">
        <v>959</v>
      </c>
      <c r="D172" s="18"/>
      <c r="E172" s="21" t="s">
        <v>1359</v>
      </c>
      <c r="F172" s="20">
        <v>15</v>
      </c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3">
        <v>0.18</v>
      </c>
      <c r="S172" s="20"/>
      <c r="T172" s="20"/>
      <c r="U172" s="23"/>
      <c r="V172" s="23"/>
      <c r="W172" s="20"/>
      <c r="X172" s="26"/>
      <c r="Y172" s="26"/>
      <c r="Z172" s="26"/>
      <c r="AA172" s="28"/>
      <c r="AB172" s="28"/>
      <c r="AC172" s="38"/>
      <c r="AD172" s="23" t="str">
        <f t="shared" si="16"/>
        <v/>
      </c>
      <c r="AE172" s="27"/>
    </row>
    <row r="173" spans="1:31">
      <c r="A173" s="19" t="s">
        <v>1076</v>
      </c>
      <c r="B173" s="32" t="s">
        <v>1390</v>
      </c>
      <c r="C173" s="17" t="s">
        <v>959</v>
      </c>
      <c r="D173" s="18"/>
      <c r="E173" s="21" t="s">
        <v>1359</v>
      </c>
      <c r="F173" s="20">
        <v>15</v>
      </c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3">
        <v>0.18</v>
      </c>
      <c r="S173" s="20"/>
      <c r="T173" s="20"/>
      <c r="U173" s="23"/>
      <c r="V173" s="23"/>
      <c r="W173" s="20"/>
      <c r="X173" s="26"/>
      <c r="Y173" s="26"/>
      <c r="Z173" s="26"/>
      <c r="AA173" s="28"/>
      <c r="AB173" s="28"/>
      <c r="AC173" s="38"/>
      <c r="AD173" s="23" t="str">
        <f t="shared" si="16"/>
        <v/>
      </c>
      <c r="AE173" s="27"/>
    </row>
    <row r="174" spans="1:31">
      <c r="A174" s="16" t="s">
        <v>1078</v>
      </c>
      <c r="B174" s="32" t="s">
        <v>1390</v>
      </c>
      <c r="C174" s="17" t="s">
        <v>959</v>
      </c>
      <c r="D174" s="18"/>
      <c r="E174" s="21" t="s">
        <v>1359</v>
      </c>
      <c r="F174" s="20">
        <v>15</v>
      </c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3">
        <v>0.18</v>
      </c>
      <c r="S174" s="20"/>
      <c r="T174" s="20"/>
      <c r="U174" s="23"/>
      <c r="V174" s="23"/>
      <c r="W174" s="20"/>
      <c r="X174" s="26"/>
      <c r="Y174" s="26"/>
      <c r="Z174" s="26"/>
      <c r="AA174" s="28"/>
      <c r="AB174" s="28"/>
      <c r="AC174" s="38"/>
      <c r="AD174" s="23" t="str">
        <f t="shared" si="16"/>
        <v/>
      </c>
      <c r="AE174" s="27"/>
    </row>
    <row r="175" spans="1:31">
      <c r="A175" s="16" t="s">
        <v>1080</v>
      </c>
      <c r="B175" s="32" t="s">
        <v>1390</v>
      </c>
      <c r="C175" s="17" t="s">
        <v>959</v>
      </c>
      <c r="D175" s="18"/>
      <c r="E175" s="21" t="s">
        <v>1359</v>
      </c>
      <c r="F175" s="20">
        <v>15</v>
      </c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3">
        <v>0.18</v>
      </c>
      <c r="S175" s="20"/>
      <c r="T175" s="20"/>
      <c r="U175" s="23"/>
      <c r="V175" s="23"/>
      <c r="W175" s="20"/>
      <c r="X175" s="26"/>
      <c r="Y175" s="26"/>
      <c r="Z175" s="26"/>
      <c r="AA175" s="28"/>
      <c r="AB175" s="28"/>
      <c r="AC175" s="38"/>
      <c r="AD175" s="23" t="str">
        <f t="shared" si="16"/>
        <v/>
      </c>
      <c r="AE175" s="27"/>
    </row>
    <row r="176" spans="1:31">
      <c r="A176" t="s">
        <v>1082</v>
      </c>
      <c r="B176" s="18" t="s">
        <v>1381</v>
      </c>
      <c r="C176" s="17" t="s">
        <v>959</v>
      </c>
      <c r="D176" s="18" t="s">
        <v>79</v>
      </c>
      <c r="E176" s="21" t="s">
        <v>1359</v>
      </c>
      <c r="F176" s="20">
        <v>24</v>
      </c>
      <c r="G176" s="23">
        <v>0.3</v>
      </c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3"/>
      <c r="V176" s="23"/>
      <c r="W176" s="20"/>
      <c r="X176" s="26"/>
      <c r="Y176" s="26"/>
      <c r="Z176" s="26"/>
      <c r="AA176" s="28"/>
      <c r="AB176" s="28"/>
      <c r="AC176" s="38"/>
      <c r="AD176" s="23" t="str">
        <f t="shared" si="16"/>
        <v/>
      </c>
      <c r="AE176" s="39" t="s">
        <v>1396</v>
      </c>
    </row>
    <row r="177" spans="1:31">
      <c r="A177" s="22" t="s">
        <v>24</v>
      </c>
      <c r="B177" s="18" t="s">
        <v>1378</v>
      </c>
      <c r="C177" s="17" t="s">
        <v>959</v>
      </c>
      <c r="D177" s="17" t="s">
        <v>23</v>
      </c>
      <c r="E177" s="21" t="s">
        <v>1359</v>
      </c>
      <c r="F177" s="20">
        <v>24</v>
      </c>
      <c r="G177" s="23">
        <v>0.3</v>
      </c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3"/>
      <c r="V177" s="23"/>
      <c r="W177" s="20"/>
      <c r="X177" s="26"/>
      <c r="Y177" s="26"/>
      <c r="Z177" s="26"/>
      <c r="AA177" s="28"/>
      <c r="AB177" s="28"/>
      <c r="AC177" s="38"/>
      <c r="AD177" s="23" t="str">
        <f t="shared" si="16"/>
        <v/>
      </c>
      <c r="AE177" s="39" t="s">
        <v>1397</v>
      </c>
    </row>
    <row r="178" spans="1:31">
      <c r="A178" s="22" t="s">
        <v>435</v>
      </c>
      <c r="B178" s="18" t="s">
        <v>1378</v>
      </c>
      <c r="C178" s="17" t="s">
        <v>959</v>
      </c>
      <c r="D178" s="17" t="s">
        <v>23</v>
      </c>
      <c r="E178" s="21" t="s">
        <v>1359</v>
      </c>
      <c r="F178" s="20">
        <v>24</v>
      </c>
      <c r="G178" s="23">
        <v>0.3</v>
      </c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3"/>
      <c r="V178" s="23"/>
      <c r="W178" s="20"/>
      <c r="X178" s="26"/>
      <c r="Y178" s="26"/>
      <c r="Z178" s="26"/>
      <c r="AA178" s="28"/>
      <c r="AB178" s="28"/>
      <c r="AC178" s="38"/>
      <c r="AD178" s="23" t="str">
        <f t="shared" si="16"/>
        <v/>
      </c>
      <c r="AE178" s="39" t="s">
        <v>1398</v>
      </c>
    </row>
    <row r="179" spans="1:31">
      <c r="A179" s="22" t="s">
        <v>1086</v>
      </c>
      <c r="B179" s="18" t="s">
        <v>1376</v>
      </c>
      <c r="C179" s="17" t="s">
        <v>959</v>
      </c>
      <c r="D179" s="17" t="s">
        <v>37</v>
      </c>
      <c r="E179" s="21" t="s">
        <v>1359</v>
      </c>
      <c r="F179" s="20">
        <v>24</v>
      </c>
      <c r="G179" s="23">
        <v>0.3</v>
      </c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3"/>
      <c r="V179" s="23"/>
      <c r="W179" s="20"/>
      <c r="X179" s="26"/>
      <c r="Y179" s="26"/>
      <c r="Z179" s="26"/>
      <c r="AA179" s="28"/>
      <c r="AB179" s="28"/>
      <c r="AC179" s="38"/>
      <c r="AD179" s="23" t="str">
        <f t="shared" si="16"/>
        <v/>
      </c>
      <c r="AE179" s="39" t="s">
        <v>1399</v>
      </c>
    </row>
    <row r="180" spans="1:31">
      <c r="A180" s="22" t="s">
        <v>1088</v>
      </c>
      <c r="B180" s="18" t="s">
        <v>1369</v>
      </c>
      <c r="C180" s="17" t="s">
        <v>959</v>
      </c>
      <c r="D180" s="17" t="s">
        <v>10</v>
      </c>
      <c r="E180" s="21" t="s">
        <v>1359</v>
      </c>
      <c r="F180" s="20">
        <v>24</v>
      </c>
      <c r="G180" s="23">
        <v>0.3</v>
      </c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3"/>
      <c r="V180" s="23"/>
      <c r="W180" s="20"/>
      <c r="X180" s="26"/>
      <c r="Y180" s="26"/>
      <c r="Z180" s="26"/>
      <c r="AA180" s="28"/>
      <c r="AB180" s="28"/>
      <c r="AC180" s="38"/>
      <c r="AD180" s="23" t="str">
        <f t="shared" si="16"/>
        <v/>
      </c>
      <c r="AE180" s="39" t="s">
        <v>1400</v>
      </c>
    </row>
    <row r="181" spans="1:31">
      <c r="A181" s="22" t="s">
        <v>1090</v>
      </c>
      <c r="B181" s="18" t="s">
        <v>1373</v>
      </c>
      <c r="C181" s="17" t="s">
        <v>959</v>
      </c>
      <c r="D181" s="17" t="s">
        <v>43</v>
      </c>
      <c r="E181" s="21" t="s">
        <v>1359</v>
      </c>
      <c r="F181" s="20">
        <v>24</v>
      </c>
      <c r="G181" s="23">
        <v>0.3</v>
      </c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3"/>
      <c r="V181" s="23"/>
      <c r="W181" s="20"/>
      <c r="X181" s="26"/>
      <c r="Y181" s="26"/>
      <c r="Z181" s="26"/>
      <c r="AA181" s="28"/>
      <c r="AB181" s="28"/>
      <c r="AC181" s="38"/>
      <c r="AD181" s="23" t="str">
        <f t="shared" si="16"/>
        <v/>
      </c>
      <c r="AE181" s="39" t="s">
        <v>1401</v>
      </c>
    </row>
    <row r="182" spans="1:31">
      <c r="A182" s="22" t="s">
        <v>111</v>
      </c>
      <c r="B182" s="18" t="s">
        <v>1373</v>
      </c>
      <c r="C182" s="17" t="s">
        <v>959</v>
      </c>
      <c r="D182" s="17" t="s">
        <v>43</v>
      </c>
      <c r="E182" s="21" t="s">
        <v>1359</v>
      </c>
      <c r="F182" s="20">
        <v>24</v>
      </c>
      <c r="G182" s="23"/>
      <c r="H182" s="23">
        <v>0.24</v>
      </c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3"/>
      <c r="V182" s="23"/>
      <c r="W182" s="34"/>
      <c r="X182" s="26"/>
      <c r="Y182" s="26"/>
      <c r="Z182" s="26"/>
      <c r="AA182" s="28"/>
      <c r="AB182" s="28"/>
      <c r="AC182" s="38"/>
      <c r="AD182" s="23" t="str">
        <f t="shared" si="16"/>
        <v/>
      </c>
      <c r="AE182" s="39" t="s">
        <v>1402</v>
      </c>
    </row>
    <row r="183" spans="1:31">
      <c r="A183" s="16" t="s">
        <v>109</v>
      </c>
      <c r="B183" s="32" t="s">
        <v>1371</v>
      </c>
      <c r="C183" s="17" t="s">
        <v>959</v>
      </c>
      <c r="D183" s="17" t="s">
        <v>72</v>
      </c>
      <c r="E183" s="21" t="s">
        <v>1359</v>
      </c>
      <c r="F183" s="20">
        <v>24</v>
      </c>
      <c r="G183" s="23"/>
      <c r="H183" s="23">
        <v>0.24</v>
      </c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3"/>
      <c r="V183" s="23"/>
      <c r="W183" s="20"/>
      <c r="X183" s="26"/>
      <c r="Y183" s="26"/>
      <c r="Z183" s="26"/>
      <c r="AA183" s="28"/>
      <c r="AB183" s="28"/>
      <c r="AC183" s="38"/>
      <c r="AD183" s="23" t="str">
        <f t="shared" si="16"/>
        <v/>
      </c>
      <c r="AE183" s="39" t="s">
        <v>1403</v>
      </c>
    </row>
    <row r="184" spans="1:31">
      <c r="A184" s="16" t="s">
        <v>73</v>
      </c>
      <c r="B184" s="32" t="s">
        <v>1371</v>
      </c>
      <c r="C184" s="17" t="s">
        <v>959</v>
      </c>
      <c r="D184" s="17" t="s">
        <v>72</v>
      </c>
      <c r="E184" s="21" t="s">
        <v>1359</v>
      </c>
      <c r="F184" s="20">
        <v>24</v>
      </c>
      <c r="G184" s="23"/>
      <c r="H184" s="23">
        <v>0.24</v>
      </c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3"/>
      <c r="V184" s="23"/>
      <c r="W184" s="20"/>
      <c r="X184" s="26"/>
      <c r="Y184" s="26"/>
      <c r="Z184" s="26"/>
      <c r="AA184" s="28"/>
      <c r="AB184" s="28"/>
      <c r="AC184" s="38"/>
      <c r="AD184" s="23" t="str">
        <f t="shared" si="16"/>
        <v/>
      </c>
      <c r="AE184" s="39" t="s">
        <v>1404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03"/>
  <sheetViews>
    <sheetView topLeftCell="L164" workbookViewId="0">
      <selection activeCell="L164" sqref="L164"/>
    </sheetView>
  </sheetViews>
  <sheetFormatPr defaultColWidth="9" defaultRowHeight="14.25"/>
  <cols>
    <col min="1" max="1" width="15.625" customWidth="1"/>
  </cols>
  <sheetData>
    <row r="1" spans="1:27">
      <c r="A1" s="6" t="s">
        <v>46</v>
      </c>
      <c r="B1" s="6" t="s">
        <v>47</v>
      </c>
      <c r="C1" s="8" t="s">
        <v>48</v>
      </c>
      <c r="D1" s="6" t="s">
        <v>146</v>
      </c>
      <c r="E1" s="6" t="s">
        <v>1405</v>
      </c>
      <c r="F1" s="6" t="s">
        <v>49</v>
      </c>
      <c r="G1" s="6" t="s">
        <v>50</v>
      </c>
      <c r="H1" s="7" t="s">
        <v>58</v>
      </c>
      <c r="I1" s="7" t="s">
        <v>147</v>
      </c>
      <c r="J1" s="7" t="s">
        <v>148</v>
      </c>
      <c r="K1" s="7" t="s">
        <v>149</v>
      </c>
      <c r="L1" s="7" t="s">
        <v>1406</v>
      </c>
      <c r="M1" s="7" t="s">
        <v>150</v>
      </c>
      <c r="N1" s="7" t="s">
        <v>64</v>
      </c>
      <c r="O1" s="7" t="s">
        <v>172</v>
      </c>
      <c r="P1" s="7" t="s">
        <v>1407</v>
      </c>
      <c r="Q1" s="7" t="s">
        <v>1408</v>
      </c>
      <c r="R1" s="7" t="s">
        <v>1409</v>
      </c>
      <c r="S1" s="7" t="s">
        <v>1410</v>
      </c>
      <c r="T1" s="7" t="s">
        <v>1411</v>
      </c>
      <c r="U1" s="7" t="s">
        <v>1412</v>
      </c>
      <c r="V1" s="7" t="s">
        <v>1413</v>
      </c>
      <c r="W1" s="7" t="s">
        <v>1414</v>
      </c>
      <c r="X1" s="7" t="s">
        <v>1415</v>
      </c>
      <c r="Y1" s="7" t="s">
        <v>70</v>
      </c>
      <c r="Z1" s="11" t="s">
        <v>1416</v>
      </c>
      <c r="AA1" s="7" t="s">
        <v>1349</v>
      </c>
    </row>
    <row r="2" spans="1:8">
      <c r="A2" t="s">
        <v>713</v>
      </c>
      <c r="B2" t="s">
        <v>1417</v>
      </c>
      <c r="C2" t="s">
        <v>78</v>
      </c>
      <c r="D2" t="s">
        <v>140</v>
      </c>
      <c r="F2" t="s">
        <v>1355</v>
      </c>
      <c r="G2">
        <v>15</v>
      </c>
      <c r="H2" s="2">
        <v>1.5</v>
      </c>
    </row>
    <row r="3" spans="1:13">
      <c r="A3" t="s">
        <v>153</v>
      </c>
      <c r="B3" t="s">
        <v>1417</v>
      </c>
      <c r="C3" t="s">
        <v>78</v>
      </c>
      <c r="D3" t="s">
        <v>140</v>
      </c>
      <c r="F3" t="s">
        <v>1359</v>
      </c>
      <c r="G3">
        <v>25</v>
      </c>
      <c r="H3" s="2"/>
      <c r="M3" s="2">
        <v>0.75</v>
      </c>
    </row>
    <row r="4" spans="1:14">
      <c r="A4" t="s">
        <v>809</v>
      </c>
      <c r="B4" t="s">
        <v>1417</v>
      </c>
      <c r="C4" t="s">
        <v>78</v>
      </c>
      <c r="D4" t="s">
        <v>140</v>
      </c>
      <c r="F4" t="s">
        <v>1359</v>
      </c>
      <c r="G4">
        <v>15</v>
      </c>
      <c r="H4" s="2"/>
      <c r="N4">
        <v>2.5</v>
      </c>
    </row>
    <row r="5" spans="1:12">
      <c r="A5" t="s">
        <v>155</v>
      </c>
      <c r="B5" t="s">
        <v>1417</v>
      </c>
      <c r="C5" t="s">
        <v>78</v>
      </c>
      <c r="D5" t="s">
        <v>140</v>
      </c>
      <c r="E5" t="s">
        <v>1418</v>
      </c>
      <c r="F5" t="s">
        <v>1355</v>
      </c>
      <c r="G5">
        <v>14</v>
      </c>
      <c r="H5" s="2"/>
      <c r="L5" s="2">
        <v>0.99</v>
      </c>
    </row>
    <row r="6" spans="1:12">
      <c r="A6" t="s">
        <v>722</v>
      </c>
      <c r="B6" t="s">
        <v>1417</v>
      </c>
      <c r="C6" t="s">
        <v>78</v>
      </c>
      <c r="D6" t="s">
        <v>140</v>
      </c>
      <c r="E6" t="s">
        <v>1419</v>
      </c>
      <c r="F6" t="s">
        <v>1355</v>
      </c>
      <c r="G6">
        <v>14</v>
      </c>
      <c r="H6" s="2"/>
      <c r="L6" s="2">
        <v>0.99</v>
      </c>
    </row>
    <row r="7" spans="1:12">
      <c r="A7" t="s">
        <v>720</v>
      </c>
      <c r="B7" t="s">
        <v>1417</v>
      </c>
      <c r="C7" t="s">
        <v>78</v>
      </c>
      <c r="D7" t="s">
        <v>140</v>
      </c>
      <c r="E7" t="s">
        <v>1420</v>
      </c>
      <c r="F7" t="s">
        <v>1355</v>
      </c>
      <c r="G7">
        <v>14</v>
      </c>
      <c r="H7" s="2"/>
      <c r="L7" s="2">
        <v>0.99</v>
      </c>
    </row>
    <row r="8" spans="1:9">
      <c r="A8" t="s">
        <v>177</v>
      </c>
      <c r="B8" t="s">
        <v>1417</v>
      </c>
      <c r="C8" t="s">
        <v>959</v>
      </c>
      <c r="D8" t="s">
        <v>140</v>
      </c>
      <c r="F8" t="s">
        <v>1355</v>
      </c>
      <c r="G8">
        <v>17</v>
      </c>
      <c r="I8" s="2">
        <v>1</v>
      </c>
    </row>
    <row r="9" spans="1:10">
      <c r="A9" t="s">
        <v>154</v>
      </c>
      <c r="B9" t="s">
        <v>1417</v>
      </c>
      <c r="C9" t="s">
        <v>959</v>
      </c>
      <c r="D9" t="s">
        <v>140</v>
      </c>
      <c r="F9" t="s">
        <v>1355</v>
      </c>
      <c r="G9">
        <v>14</v>
      </c>
      <c r="J9" s="2">
        <v>1</v>
      </c>
    </row>
    <row r="10" spans="1:12">
      <c r="A10" t="s">
        <v>717</v>
      </c>
      <c r="B10" t="s">
        <v>1417</v>
      </c>
      <c r="C10" t="s">
        <v>959</v>
      </c>
      <c r="D10" t="s">
        <v>140</v>
      </c>
      <c r="F10" t="s">
        <v>1361</v>
      </c>
      <c r="G10">
        <v>12</v>
      </c>
      <c r="K10" s="2">
        <v>1</v>
      </c>
      <c r="L10" s="2"/>
    </row>
    <row r="11" spans="1:12">
      <c r="A11" t="s">
        <v>790</v>
      </c>
      <c r="B11" t="s">
        <v>1417</v>
      </c>
      <c r="C11" t="s">
        <v>78</v>
      </c>
      <c r="D11" t="s">
        <v>140</v>
      </c>
      <c r="F11" t="s">
        <v>1355</v>
      </c>
      <c r="G11">
        <v>17</v>
      </c>
      <c r="H11" s="2">
        <v>0.75</v>
      </c>
      <c r="I11" s="2">
        <v>0.99</v>
      </c>
      <c r="K11" s="2"/>
      <c r="L11" s="2"/>
    </row>
    <row r="12" spans="1:12">
      <c r="A12" t="s">
        <v>792</v>
      </c>
      <c r="B12" t="s">
        <v>1417</v>
      </c>
      <c r="C12" t="s">
        <v>78</v>
      </c>
      <c r="D12" t="s">
        <v>140</v>
      </c>
      <c r="F12" t="s">
        <v>1361</v>
      </c>
      <c r="G12">
        <v>16</v>
      </c>
      <c r="J12" s="2">
        <v>0.99</v>
      </c>
      <c r="K12" s="2">
        <v>0.99</v>
      </c>
      <c r="L12" s="2"/>
    </row>
    <row r="13" spans="1:8">
      <c r="A13" t="s">
        <v>713</v>
      </c>
      <c r="B13" t="s">
        <v>1421</v>
      </c>
      <c r="C13" t="s">
        <v>78</v>
      </c>
      <c r="D13" t="s">
        <v>170</v>
      </c>
      <c r="F13" t="s">
        <v>1355</v>
      </c>
      <c r="G13">
        <v>15</v>
      </c>
      <c r="H13" s="2">
        <v>1.5</v>
      </c>
    </row>
    <row r="14" spans="1:13">
      <c r="A14" t="s">
        <v>153</v>
      </c>
      <c r="B14" t="s">
        <v>1421</v>
      </c>
      <c r="C14" t="s">
        <v>78</v>
      </c>
      <c r="D14" t="s">
        <v>170</v>
      </c>
      <c r="F14" t="s">
        <v>1359</v>
      </c>
      <c r="G14">
        <v>20</v>
      </c>
      <c r="H14" s="2"/>
      <c r="M14" s="2">
        <v>1</v>
      </c>
    </row>
    <row r="15" spans="1:15">
      <c r="A15" t="s">
        <v>173</v>
      </c>
      <c r="B15" t="s">
        <v>1421</v>
      </c>
      <c r="C15" t="s">
        <v>78</v>
      </c>
      <c r="D15" t="s">
        <v>170</v>
      </c>
      <c r="F15" t="s">
        <v>1359</v>
      </c>
      <c r="G15">
        <v>20</v>
      </c>
      <c r="H15" s="2"/>
      <c r="O15" s="2">
        <v>1.5</v>
      </c>
    </row>
    <row r="16" spans="1:12">
      <c r="A16" t="s">
        <v>155</v>
      </c>
      <c r="B16" t="s">
        <v>1421</v>
      </c>
      <c r="C16" t="s">
        <v>78</v>
      </c>
      <c r="D16" t="s">
        <v>170</v>
      </c>
      <c r="E16" t="s">
        <v>1418</v>
      </c>
      <c r="F16" t="s">
        <v>1355</v>
      </c>
      <c r="G16">
        <v>14</v>
      </c>
      <c r="H16" s="2"/>
      <c r="L16" s="2">
        <v>0.99</v>
      </c>
    </row>
    <row r="17" spans="1:12">
      <c r="A17" t="s">
        <v>722</v>
      </c>
      <c r="B17" t="s">
        <v>1421</v>
      </c>
      <c r="C17" t="s">
        <v>78</v>
      </c>
      <c r="D17" t="s">
        <v>170</v>
      </c>
      <c r="E17" t="s">
        <v>1419</v>
      </c>
      <c r="F17" t="s">
        <v>1355</v>
      </c>
      <c r="G17">
        <v>14</v>
      </c>
      <c r="H17" s="2"/>
      <c r="L17" s="2">
        <v>0.99</v>
      </c>
    </row>
    <row r="18" spans="1:12">
      <c r="A18" t="s">
        <v>720</v>
      </c>
      <c r="B18" t="s">
        <v>1421</v>
      </c>
      <c r="C18" t="s">
        <v>78</v>
      </c>
      <c r="D18" t="s">
        <v>170</v>
      </c>
      <c r="E18" t="s">
        <v>1420</v>
      </c>
      <c r="F18" t="s">
        <v>1355</v>
      </c>
      <c r="G18">
        <v>14</v>
      </c>
      <c r="H18" s="2"/>
      <c r="L18" s="2">
        <v>0.99</v>
      </c>
    </row>
    <row r="19" spans="1:9">
      <c r="A19" t="s">
        <v>177</v>
      </c>
      <c r="B19" t="s">
        <v>1421</v>
      </c>
      <c r="C19" t="s">
        <v>959</v>
      </c>
      <c r="D19" t="s">
        <v>170</v>
      </c>
      <c r="F19" t="s">
        <v>1355</v>
      </c>
      <c r="G19">
        <v>17</v>
      </c>
      <c r="I19" s="2">
        <v>1</v>
      </c>
    </row>
    <row r="20" spans="1:10">
      <c r="A20" t="s">
        <v>154</v>
      </c>
      <c r="B20" t="s">
        <v>1421</v>
      </c>
      <c r="C20" t="s">
        <v>959</v>
      </c>
      <c r="D20" t="s">
        <v>170</v>
      </c>
      <c r="F20" t="s">
        <v>1355</v>
      </c>
      <c r="G20">
        <v>14</v>
      </c>
      <c r="J20" s="2">
        <v>1</v>
      </c>
    </row>
    <row r="21" spans="1:12">
      <c r="A21" t="s">
        <v>717</v>
      </c>
      <c r="B21" t="s">
        <v>1421</v>
      </c>
      <c r="C21" t="s">
        <v>959</v>
      </c>
      <c r="D21" t="s">
        <v>170</v>
      </c>
      <c r="F21" t="s">
        <v>1361</v>
      </c>
      <c r="G21">
        <v>12</v>
      </c>
      <c r="K21" s="2">
        <v>1</v>
      </c>
      <c r="L21" s="2"/>
    </row>
    <row r="22" spans="1:12">
      <c r="A22" t="s">
        <v>790</v>
      </c>
      <c r="B22" t="s">
        <v>1421</v>
      </c>
      <c r="C22" t="s">
        <v>78</v>
      </c>
      <c r="D22" t="s">
        <v>170</v>
      </c>
      <c r="F22" t="s">
        <v>1355</v>
      </c>
      <c r="G22">
        <v>17</v>
      </c>
      <c r="H22" s="2">
        <v>0.75</v>
      </c>
      <c r="I22" s="2">
        <v>0.99</v>
      </c>
      <c r="K22" s="2"/>
      <c r="L22" s="2"/>
    </row>
    <row r="23" spans="1:12">
      <c r="A23" t="s">
        <v>792</v>
      </c>
      <c r="B23" t="s">
        <v>1421</v>
      </c>
      <c r="C23" t="s">
        <v>78</v>
      </c>
      <c r="D23" t="s">
        <v>170</v>
      </c>
      <c r="F23" t="s">
        <v>1361</v>
      </c>
      <c r="G23">
        <v>16</v>
      </c>
      <c r="J23" s="2">
        <v>0.99</v>
      </c>
      <c r="K23" s="2">
        <v>0.99</v>
      </c>
      <c r="L23" s="2"/>
    </row>
    <row r="24" spans="1:26">
      <c r="A24" t="s">
        <v>1166</v>
      </c>
      <c r="B24" t="s">
        <v>1421</v>
      </c>
      <c r="C24" t="s">
        <v>959</v>
      </c>
      <c r="D24" t="s">
        <v>170</v>
      </c>
      <c r="F24" t="s">
        <v>1361</v>
      </c>
      <c r="G24">
        <v>15</v>
      </c>
      <c r="O24" s="2">
        <v>2</v>
      </c>
      <c r="P24" s="2"/>
      <c r="Q24" s="2"/>
      <c r="R24" s="2"/>
      <c r="S24" s="2"/>
      <c r="T24" s="2"/>
      <c r="Y24" s="2">
        <v>-0.6</v>
      </c>
      <c r="Z24" s="2"/>
    </row>
    <row r="25" spans="1:23">
      <c r="A25" t="s">
        <v>1164</v>
      </c>
      <c r="B25" t="s">
        <v>1421</v>
      </c>
      <c r="C25" t="s">
        <v>959</v>
      </c>
      <c r="D25" t="s">
        <v>170</v>
      </c>
      <c r="F25" t="s">
        <v>1361</v>
      </c>
      <c r="G25">
        <v>15</v>
      </c>
      <c r="U25" s="2">
        <v>2</v>
      </c>
      <c r="W25" s="2">
        <v>-0.6</v>
      </c>
    </row>
    <row r="26" spans="1:22">
      <c r="A26" t="s">
        <v>1138</v>
      </c>
      <c r="B26" t="s">
        <v>1421</v>
      </c>
      <c r="C26" t="s">
        <v>959</v>
      </c>
      <c r="D26" t="s">
        <v>170</v>
      </c>
      <c r="E26" t="s">
        <v>1419</v>
      </c>
      <c r="F26" t="s">
        <v>1361</v>
      </c>
      <c r="G26">
        <v>14</v>
      </c>
      <c r="L26" s="2">
        <v>0.36</v>
      </c>
      <c r="V26" s="2">
        <v>0.6</v>
      </c>
    </row>
    <row r="27" spans="1:9">
      <c r="A27" t="s">
        <v>1160</v>
      </c>
      <c r="B27" t="s">
        <v>1421</v>
      </c>
      <c r="C27" t="s">
        <v>959</v>
      </c>
      <c r="D27" t="s">
        <v>170</v>
      </c>
      <c r="F27" t="s">
        <v>1355</v>
      </c>
      <c r="G27">
        <v>13</v>
      </c>
      <c r="I27" s="2">
        <v>1</v>
      </c>
    </row>
    <row r="28" spans="1:8">
      <c r="A28" t="s">
        <v>1162</v>
      </c>
      <c r="B28" t="s">
        <v>1421</v>
      </c>
      <c r="C28" t="s">
        <v>959</v>
      </c>
      <c r="D28" t="s">
        <v>170</v>
      </c>
      <c r="F28" t="s">
        <v>1359</v>
      </c>
      <c r="G28">
        <v>15</v>
      </c>
      <c r="H28" s="2">
        <v>-0.6</v>
      </c>
    </row>
    <row r="29" spans="1:16">
      <c r="A29" t="s">
        <v>1111</v>
      </c>
      <c r="B29" t="s">
        <v>1422</v>
      </c>
      <c r="C29" t="s">
        <v>959</v>
      </c>
      <c r="D29" t="s">
        <v>140</v>
      </c>
      <c r="F29" t="s">
        <v>1359</v>
      </c>
      <c r="G29">
        <v>17</v>
      </c>
      <c r="P29" s="2">
        <v>0.2</v>
      </c>
    </row>
    <row r="30" spans="1:18">
      <c r="A30" t="s">
        <v>1109</v>
      </c>
      <c r="B30" t="s">
        <v>1422</v>
      </c>
      <c r="C30" t="s">
        <v>959</v>
      </c>
      <c r="D30" t="s">
        <v>140</v>
      </c>
      <c r="F30" t="s">
        <v>1359</v>
      </c>
      <c r="G30">
        <v>17</v>
      </c>
      <c r="R30" s="2">
        <v>0.2</v>
      </c>
    </row>
    <row r="31" spans="1:19">
      <c r="A31" t="s">
        <v>1113</v>
      </c>
      <c r="B31" t="s">
        <v>1422</v>
      </c>
      <c r="C31" t="s">
        <v>959</v>
      </c>
      <c r="D31" t="s">
        <v>140</v>
      </c>
      <c r="F31" t="s">
        <v>1359</v>
      </c>
      <c r="G31">
        <v>17</v>
      </c>
      <c r="S31" s="2">
        <v>0.5</v>
      </c>
    </row>
    <row r="32" spans="1:20">
      <c r="A32" t="s">
        <v>1115</v>
      </c>
      <c r="B32" t="s">
        <v>1422</v>
      </c>
      <c r="C32" t="s">
        <v>959</v>
      </c>
      <c r="D32" t="s">
        <v>140</v>
      </c>
      <c r="F32" t="s">
        <v>1359</v>
      </c>
      <c r="G32">
        <v>17</v>
      </c>
      <c r="T32" s="2">
        <v>0.5</v>
      </c>
    </row>
    <row r="33" spans="1:17">
      <c r="A33" t="s">
        <v>1117</v>
      </c>
      <c r="B33" t="s">
        <v>1422</v>
      </c>
      <c r="C33" t="s">
        <v>959</v>
      </c>
      <c r="D33" t="s">
        <v>140</v>
      </c>
      <c r="F33" t="s">
        <v>1359</v>
      </c>
      <c r="G33">
        <v>17</v>
      </c>
      <c r="Q33" s="2">
        <v>0.5</v>
      </c>
    </row>
    <row r="34" spans="1:27">
      <c r="A34" t="s">
        <v>1119</v>
      </c>
      <c r="B34" t="s">
        <v>1422</v>
      </c>
      <c r="C34" t="s">
        <v>959</v>
      </c>
      <c r="D34" t="s">
        <v>140</v>
      </c>
      <c r="F34" t="s">
        <v>1359</v>
      </c>
      <c r="G34">
        <v>15</v>
      </c>
      <c r="AA34" t="s">
        <v>1423</v>
      </c>
    </row>
    <row r="35" spans="1:27">
      <c r="A35" t="s">
        <v>1105</v>
      </c>
      <c r="B35" t="s">
        <v>1422</v>
      </c>
      <c r="C35" t="s">
        <v>959</v>
      </c>
      <c r="D35" t="s">
        <v>140</v>
      </c>
      <c r="E35" s="9" t="s">
        <v>1419</v>
      </c>
      <c r="F35" t="s">
        <v>1352</v>
      </c>
      <c r="G35">
        <v>14</v>
      </c>
      <c r="AA35" t="s">
        <v>1424</v>
      </c>
    </row>
    <row r="36" spans="1:27">
      <c r="A36" t="s">
        <v>1107</v>
      </c>
      <c r="B36" t="s">
        <v>1422</v>
      </c>
      <c r="C36" t="s">
        <v>959</v>
      </c>
      <c r="D36" t="s">
        <v>140</v>
      </c>
      <c r="F36" t="s">
        <v>1352</v>
      </c>
      <c r="G36">
        <v>11</v>
      </c>
      <c r="AA36" t="s">
        <v>1425</v>
      </c>
    </row>
    <row r="37" spans="1:26">
      <c r="A37" t="s">
        <v>1129</v>
      </c>
      <c r="B37" t="s">
        <v>1422</v>
      </c>
      <c r="C37" t="s">
        <v>959</v>
      </c>
      <c r="D37" t="s">
        <v>140</v>
      </c>
      <c r="E37" s="9" t="s">
        <v>1420</v>
      </c>
      <c r="F37" t="s">
        <v>1355</v>
      </c>
      <c r="G37">
        <v>14</v>
      </c>
      <c r="Z37" s="2">
        <v>0.8</v>
      </c>
    </row>
    <row r="38" spans="1:26">
      <c r="A38" t="s">
        <v>1131</v>
      </c>
      <c r="B38" t="s">
        <v>1422</v>
      </c>
      <c r="C38" t="s">
        <v>959</v>
      </c>
      <c r="D38" t="s">
        <v>140</v>
      </c>
      <c r="E38" s="9" t="s">
        <v>1418</v>
      </c>
      <c r="F38" t="s">
        <v>1355</v>
      </c>
      <c r="G38">
        <v>14</v>
      </c>
      <c r="Z38" s="2">
        <v>0.8</v>
      </c>
    </row>
    <row r="39" spans="1:27">
      <c r="A39" t="s">
        <v>1101</v>
      </c>
      <c r="B39" t="s">
        <v>1422</v>
      </c>
      <c r="C39" t="s">
        <v>959</v>
      </c>
      <c r="D39" t="s">
        <v>140</v>
      </c>
      <c r="F39" t="s">
        <v>1352</v>
      </c>
      <c r="G39">
        <v>20</v>
      </c>
      <c r="M39" s="2">
        <v>0.6</v>
      </c>
      <c r="AA39" t="s">
        <v>1426</v>
      </c>
    </row>
    <row r="40" spans="1:27">
      <c r="A40" t="s">
        <v>1103</v>
      </c>
      <c r="B40" t="s">
        <v>1422</v>
      </c>
      <c r="C40" t="s">
        <v>959</v>
      </c>
      <c r="D40" t="s">
        <v>140</v>
      </c>
      <c r="F40" t="s">
        <v>1352</v>
      </c>
      <c r="G40">
        <v>15</v>
      </c>
      <c r="AA40" t="s">
        <v>1427</v>
      </c>
    </row>
    <row r="41" spans="1:27">
      <c r="A41" t="s">
        <v>1099</v>
      </c>
      <c r="B41" t="s">
        <v>1422</v>
      </c>
      <c r="C41" t="s">
        <v>959</v>
      </c>
      <c r="D41" t="s">
        <v>140</v>
      </c>
      <c r="F41" t="s">
        <v>1359</v>
      </c>
      <c r="G41">
        <v>19</v>
      </c>
      <c r="K41" s="2">
        <v>0.78</v>
      </c>
      <c r="AA41" t="s">
        <v>1428</v>
      </c>
    </row>
    <row r="42" spans="1:7">
      <c r="A42" t="s">
        <v>1121</v>
      </c>
      <c r="B42" t="s">
        <v>1422</v>
      </c>
      <c r="C42" t="s">
        <v>959</v>
      </c>
      <c r="D42" t="s">
        <v>140</v>
      </c>
      <c r="F42" t="s">
        <v>1355</v>
      </c>
      <c r="G42">
        <v>14</v>
      </c>
    </row>
    <row r="43" spans="1:7">
      <c r="A43" t="s">
        <v>1123</v>
      </c>
      <c r="B43" t="s">
        <v>1422</v>
      </c>
      <c r="C43" t="s">
        <v>959</v>
      </c>
      <c r="D43" t="s">
        <v>140</v>
      </c>
      <c r="F43" t="s">
        <v>1355</v>
      </c>
      <c r="G43">
        <v>14</v>
      </c>
    </row>
    <row r="44" spans="1:7">
      <c r="A44" t="s">
        <v>1125</v>
      </c>
      <c r="B44" t="s">
        <v>1422</v>
      </c>
      <c r="C44" t="s">
        <v>959</v>
      </c>
      <c r="D44" t="s">
        <v>140</v>
      </c>
      <c r="F44" t="s">
        <v>1355</v>
      </c>
      <c r="G44">
        <v>14</v>
      </c>
    </row>
    <row r="45" spans="1:7">
      <c r="A45" t="s">
        <v>1127</v>
      </c>
      <c r="B45" t="s">
        <v>1422</v>
      </c>
      <c r="C45" t="s">
        <v>959</v>
      </c>
      <c r="D45" t="s">
        <v>140</v>
      </c>
      <c r="F45" t="s">
        <v>1355</v>
      </c>
      <c r="G45">
        <v>14</v>
      </c>
    </row>
    <row r="46" spans="1:10">
      <c r="A46" t="s">
        <v>1318</v>
      </c>
      <c r="B46" t="s">
        <v>1422</v>
      </c>
      <c r="C46" t="s">
        <v>959</v>
      </c>
      <c r="D46" t="s">
        <v>140</v>
      </c>
      <c r="E46" t="s">
        <v>244</v>
      </c>
      <c r="F46" t="s">
        <v>1352</v>
      </c>
      <c r="G46">
        <v>25</v>
      </c>
      <c r="J46" s="2">
        <v>0.5</v>
      </c>
    </row>
    <row r="47" spans="1:9">
      <c r="A47" t="s">
        <v>1320</v>
      </c>
      <c r="B47" t="s">
        <v>1422</v>
      </c>
      <c r="C47" t="s">
        <v>959</v>
      </c>
      <c r="D47" t="s">
        <v>140</v>
      </c>
      <c r="E47" t="s">
        <v>244</v>
      </c>
      <c r="F47" t="s">
        <v>1352</v>
      </c>
      <c r="G47">
        <v>25</v>
      </c>
      <c r="I47" s="2">
        <v>0.4</v>
      </c>
    </row>
    <row r="48" spans="1:7">
      <c r="A48" t="s">
        <v>1326</v>
      </c>
      <c r="B48" t="s">
        <v>1422</v>
      </c>
      <c r="C48" t="s">
        <v>959</v>
      </c>
      <c r="D48" t="s">
        <v>140</v>
      </c>
      <c r="E48" t="s">
        <v>253</v>
      </c>
      <c r="F48" t="s">
        <v>1352</v>
      </c>
      <c r="G48">
        <v>25</v>
      </c>
    </row>
    <row r="49" spans="1:8">
      <c r="A49" t="s">
        <v>1328</v>
      </c>
      <c r="B49" t="s">
        <v>1422</v>
      </c>
      <c r="C49" t="s">
        <v>959</v>
      </c>
      <c r="D49" t="s">
        <v>140</v>
      </c>
      <c r="E49" t="s">
        <v>253</v>
      </c>
      <c r="F49" t="s">
        <v>1352</v>
      </c>
      <c r="G49">
        <v>25</v>
      </c>
      <c r="H49" s="2">
        <v>0.5</v>
      </c>
    </row>
    <row r="50" spans="1:7">
      <c r="A50" t="s">
        <v>1330</v>
      </c>
      <c r="B50" t="s">
        <v>1422</v>
      </c>
      <c r="C50" t="s">
        <v>959</v>
      </c>
      <c r="D50" t="s">
        <v>140</v>
      </c>
      <c r="E50" t="s">
        <v>261</v>
      </c>
      <c r="F50" t="s">
        <v>1352</v>
      </c>
      <c r="G50">
        <v>25</v>
      </c>
    </row>
    <row r="51" spans="1:7">
      <c r="A51" t="s">
        <v>1334</v>
      </c>
      <c r="B51" t="s">
        <v>1422</v>
      </c>
      <c r="C51" t="s">
        <v>959</v>
      </c>
      <c r="D51" t="s">
        <v>140</v>
      </c>
      <c r="E51" t="s">
        <v>241</v>
      </c>
      <c r="F51" t="s">
        <v>1352</v>
      </c>
      <c r="G51">
        <v>25</v>
      </c>
    </row>
    <row r="52" spans="1:7">
      <c r="A52" t="s">
        <v>1314</v>
      </c>
      <c r="B52" t="s">
        <v>1422</v>
      </c>
      <c r="C52" t="s">
        <v>959</v>
      </c>
      <c r="D52" t="s">
        <v>140</v>
      </c>
      <c r="E52" t="s">
        <v>247</v>
      </c>
      <c r="F52" t="s">
        <v>1352</v>
      </c>
      <c r="G52">
        <v>25</v>
      </c>
    </row>
    <row r="53" spans="1:9">
      <c r="A53" t="s">
        <v>1316</v>
      </c>
      <c r="B53" t="s">
        <v>1422</v>
      </c>
      <c r="C53" t="s">
        <v>959</v>
      </c>
      <c r="D53" t="s">
        <v>140</v>
      </c>
      <c r="E53" t="s">
        <v>247</v>
      </c>
      <c r="F53" t="s">
        <v>1352</v>
      </c>
      <c r="G53">
        <v>25</v>
      </c>
      <c r="I53" s="2">
        <v>0.4</v>
      </c>
    </row>
    <row r="54" spans="1:7">
      <c r="A54" t="s">
        <v>1322</v>
      </c>
      <c r="B54" t="s">
        <v>1422</v>
      </c>
      <c r="C54" t="s">
        <v>959</v>
      </c>
      <c r="D54" t="s">
        <v>140</v>
      </c>
      <c r="E54" t="s">
        <v>244</v>
      </c>
      <c r="F54" t="s">
        <v>1352</v>
      </c>
      <c r="G54">
        <v>25</v>
      </c>
    </row>
    <row r="55" spans="1:9">
      <c r="A55" t="s">
        <v>1324</v>
      </c>
      <c r="B55" t="s">
        <v>1422</v>
      </c>
      <c r="C55" t="s">
        <v>959</v>
      </c>
      <c r="D55" t="s">
        <v>140</v>
      </c>
      <c r="E55" t="s">
        <v>244</v>
      </c>
      <c r="F55" t="s">
        <v>1352</v>
      </c>
      <c r="G55">
        <v>25</v>
      </c>
      <c r="I55" s="2">
        <v>0.4</v>
      </c>
    </row>
    <row r="56" spans="1:7">
      <c r="A56" t="s">
        <v>1332</v>
      </c>
      <c r="B56" t="s">
        <v>1422</v>
      </c>
      <c r="C56" t="s">
        <v>959</v>
      </c>
      <c r="D56" t="s">
        <v>140</v>
      </c>
      <c r="E56" t="s">
        <v>261</v>
      </c>
      <c r="F56" t="s">
        <v>1352</v>
      </c>
      <c r="G56">
        <v>25</v>
      </c>
    </row>
    <row r="57" spans="1:7">
      <c r="A57" t="s">
        <v>1140</v>
      </c>
      <c r="B57" t="s">
        <v>1429</v>
      </c>
      <c r="C57" t="s">
        <v>959</v>
      </c>
      <c r="D57" t="s">
        <v>170</v>
      </c>
      <c r="F57" t="s">
        <v>1352</v>
      </c>
      <c r="G57">
        <v>15</v>
      </c>
    </row>
    <row r="58" spans="1:7">
      <c r="A58" t="s">
        <v>1142</v>
      </c>
      <c r="B58" t="s">
        <v>1429</v>
      </c>
      <c r="C58" t="s">
        <v>959</v>
      </c>
      <c r="D58" t="s">
        <v>170</v>
      </c>
      <c r="F58" t="s">
        <v>1352</v>
      </c>
      <c r="G58">
        <v>17</v>
      </c>
    </row>
    <row r="59" spans="1:7">
      <c r="A59" t="s">
        <v>1150</v>
      </c>
      <c r="B59" t="s">
        <v>1429</v>
      </c>
      <c r="C59" t="s">
        <v>959</v>
      </c>
      <c r="D59" t="s">
        <v>170</v>
      </c>
      <c r="F59" t="s">
        <v>1359</v>
      </c>
      <c r="G59">
        <v>15</v>
      </c>
    </row>
    <row r="60" spans="1:7">
      <c r="A60" t="s">
        <v>1152</v>
      </c>
      <c r="B60" t="s">
        <v>1429</v>
      </c>
      <c r="C60" t="s">
        <v>959</v>
      </c>
      <c r="D60" t="s">
        <v>170</v>
      </c>
      <c r="F60" t="s">
        <v>1359</v>
      </c>
      <c r="G60">
        <v>15</v>
      </c>
    </row>
    <row r="61" spans="1:7">
      <c r="A61" t="s">
        <v>1144</v>
      </c>
      <c r="B61" t="s">
        <v>1429</v>
      </c>
      <c r="C61" t="s">
        <v>959</v>
      </c>
      <c r="D61" t="s">
        <v>170</v>
      </c>
      <c r="F61" t="s">
        <v>1359</v>
      </c>
      <c r="G61">
        <v>20</v>
      </c>
    </row>
    <row r="62" spans="1:7">
      <c r="A62" t="s">
        <v>1146</v>
      </c>
      <c r="B62" t="s">
        <v>1429</v>
      </c>
      <c r="C62" t="s">
        <v>959</v>
      </c>
      <c r="D62" t="s">
        <v>170</v>
      </c>
      <c r="F62" t="s">
        <v>1359</v>
      </c>
      <c r="G62">
        <v>20</v>
      </c>
    </row>
    <row r="63" spans="1:7">
      <c r="A63" t="s">
        <v>1148</v>
      </c>
      <c r="B63" t="s">
        <v>1429</v>
      </c>
      <c r="C63" t="s">
        <v>959</v>
      </c>
      <c r="D63" t="s">
        <v>170</v>
      </c>
      <c r="F63" t="s">
        <v>1359</v>
      </c>
      <c r="G63">
        <v>17</v>
      </c>
    </row>
    <row r="64" spans="1:7">
      <c r="A64" t="s">
        <v>1131</v>
      </c>
      <c r="B64" t="s">
        <v>1429</v>
      </c>
      <c r="C64" t="s">
        <v>959</v>
      </c>
      <c r="D64" t="s">
        <v>170</v>
      </c>
      <c r="F64" t="s">
        <v>1355</v>
      </c>
      <c r="G64">
        <v>14</v>
      </c>
    </row>
    <row r="65" spans="1:7">
      <c r="A65" t="s">
        <v>1129</v>
      </c>
      <c r="B65" t="s">
        <v>1429</v>
      </c>
      <c r="C65" t="s">
        <v>959</v>
      </c>
      <c r="D65" t="s">
        <v>170</v>
      </c>
      <c r="F65" t="s">
        <v>1355</v>
      </c>
      <c r="G65">
        <v>14</v>
      </c>
    </row>
    <row r="66" spans="1:7">
      <c r="A66" t="s">
        <v>1121</v>
      </c>
      <c r="B66" t="s">
        <v>1429</v>
      </c>
      <c r="C66" t="s">
        <v>959</v>
      </c>
      <c r="D66" t="s">
        <v>170</v>
      </c>
      <c r="F66" t="s">
        <v>1355</v>
      </c>
      <c r="G66">
        <v>14</v>
      </c>
    </row>
    <row r="67" spans="1:7">
      <c r="A67" t="s">
        <v>1123</v>
      </c>
      <c r="B67" t="s">
        <v>1429</v>
      </c>
      <c r="C67" t="s">
        <v>959</v>
      </c>
      <c r="D67" t="s">
        <v>170</v>
      </c>
      <c r="F67" t="s">
        <v>1355</v>
      </c>
      <c r="G67">
        <v>14</v>
      </c>
    </row>
    <row r="68" spans="1:7">
      <c r="A68" t="s">
        <v>1125</v>
      </c>
      <c r="B68" t="s">
        <v>1429</v>
      </c>
      <c r="C68" t="s">
        <v>959</v>
      </c>
      <c r="D68" t="s">
        <v>170</v>
      </c>
      <c r="F68" t="s">
        <v>1355</v>
      </c>
      <c r="G68">
        <v>14</v>
      </c>
    </row>
    <row r="69" spans="1:7">
      <c r="A69" t="s">
        <v>1127</v>
      </c>
      <c r="B69" t="s">
        <v>1429</v>
      </c>
      <c r="C69" t="s">
        <v>959</v>
      </c>
      <c r="D69" t="s">
        <v>170</v>
      </c>
      <c r="F69" t="s">
        <v>1355</v>
      </c>
      <c r="G69">
        <v>14</v>
      </c>
    </row>
    <row r="70" spans="1:27">
      <c r="A70" t="s">
        <v>911</v>
      </c>
      <c r="B70" t="s">
        <v>1422</v>
      </c>
      <c r="C70" t="s">
        <v>825</v>
      </c>
      <c r="D70" t="s">
        <v>140</v>
      </c>
      <c r="G70">
        <v>13</v>
      </c>
      <c r="AA70" t="s">
        <v>1430</v>
      </c>
    </row>
    <row r="71" spans="1:27">
      <c r="A71" t="s">
        <v>909</v>
      </c>
      <c r="B71" t="s">
        <v>1422</v>
      </c>
      <c r="C71" t="s">
        <v>825</v>
      </c>
      <c r="D71" t="s">
        <v>140</v>
      </c>
      <c r="G71">
        <v>12</v>
      </c>
      <c r="AA71" t="s">
        <v>1431</v>
      </c>
    </row>
    <row r="72" spans="1:27">
      <c r="A72" t="s">
        <v>907</v>
      </c>
      <c r="B72" t="s">
        <v>1422</v>
      </c>
      <c r="C72" t="s">
        <v>825</v>
      </c>
      <c r="D72" t="s">
        <v>140</v>
      </c>
      <c r="G72">
        <v>10</v>
      </c>
      <c r="AA72" t="s">
        <v>1428</v>
      </c>
    </row>
    <row r="73" spans="1:27">
      <c r="A73" t="s">
        <v>913</v>
      </c>
      <c r="B73" t="s">
        <v>1422</v>
      </c>
      <c r="C73" t="s">
        <v>825</v>
      </c>
      <c r="D73" t="s">
        <v>140</v>
      </c>
      <c r="G73">
        <v>10</v>
      </c>
      <c r="AA73" t="s">
        <v>1432</v>
      </c>
    </row>
    <row r="74" spans="1:27">
      <c r="A74" t="s">
        <v>938</v>
      </c>
      <c r="B74" t="s">
        <v>1429</v>
      </c>
      <c r="C74" t="s">
        <v>825</v>
      </c>
      <c r="D74" t="s">
        <v>170</v>
      </c>
      <c r="G74">
        <v>15</v>
      </c>
      <c r="AA74" t="s">
        <v>1433</v>
      </c>
    </row>
    <row r="75" spans="1:27">
      <c r="A75" t="s">
        <v>936</v>
      </c>
      <c r="B75" t="s">
        <v>1429</v>
      </c>
      <c r="C75" t="s">
        <v>825</v>
      </c>
      <c r="D75" t="s">
        <v>170</v>
      </c>
      <c r="G75">
        <v>10</v>
      </c>
      <c r="AA75" t="s">
        <v>1434</v>
      </c>
    </row>
    <row r="76" spans="1:27">
      <c r="A76" t="s">
        <v>934</v>
      </c>
      <c r="B76" t="s">
        <v>1429</v>
      </c>
      <c r="C76" t="s">
        <v>825</v>
      </c>
      <c r="D76" t="s">
        <v>170</v>
      </c>
      <c r="G76">
        <v>12</v>
      </c>
      <c r="AA76" t="s">
        <v>1435</v>
      </c>
    </row>
    <row r="77" spans="1:27">
      <c r="A77" t="s">
        <v>932</v>
      </c>
      <c r="B77" t="s">
        <v>1429</v>
      </c>
      <c r="C77" t="s">
        <v>825</v>
      </c>
      <c r="D77" t="s">
        <v>170</v>
      </c>
      <c r="G77">
        <v>8</v>
      </c>
      <c r="AA77" t="s">
        <v>1436</v>
      </c>
    </row>
    <row r="78" spans="1:27">
      <c r="A78" t="s">
        <v>930</v>
      </c>
      <c r="B78" t="s">
        <v>1429</v>
      </c>
      <c r="C78" t="s">
        <v>825</v>
      </c>
      <c r="D78" t="s">
        <v>170</v>
      </c>
      <c r="G78">
        <v>10</v>
      </c>
      <c r="AA78" t="s">
        <v>1437</v>
      </c>
    </row>
    <row r="79" spans="1:27">
      <c r="A79" t="s">
        <v>928</v>
      </c>
      <c r="B79" t="s">
        <v>1429</v>
      </c>
      <c r="C79" t="s">
        <v>825</v>
      </c>
      <c r="D79" t="s">
        <v>170</v>
      </c>
      <c r="G79">
        <v>10</v>
      </c>
      <c r="AA79" t="s">
        <v>1438</v>
      </c>
    </row>
    <row r="80" spans="1:24">
      <c r="A80" t="s">
        <v>926</v>
      </c>
      <c r="B80" t="s">
        <v>1429</v>
      </c>
      <c r="C80" t="s">
        <v>825</v>
      </c>
      <c r="D80" t="s">
        <v>170</v>
      </c>
      <c r="G80">
        <v>10</v>
      </c>
      <c r="X80" s="2">
        <v>0.3</v>
      </c>
    </row>
    <row r="81" spans="1:23">
      <c r="A81" t="s">
        <v>924</v>
      </c>
      <c r="B81" t="s">
        <v>1429</v>
      </c>
      <c r="C81" t="s">
        <v>825</v>
      </c>
      <c r="D81" t="s">
        <v>170</v>
      </c>
      <c r="G81">
        <v>9</v>
      </c>
      <c r="W81" s="2">
        <v>0.3</v>
      </c>
    </row>
    <row r="82" spans="1:21">
      <c r="A82" t="s">
        <v>922</v>
      </c>
      <c r="B82" t="s">
        <v>1429</v>
      </c>
      <c r="C82" t="s">
        <v>825</v>
      </c>
      <c r="D82" t="s">
        <v>170</v>
      </c>
      <c r="G82">
        <v>9</v>
      </c>
      <c r="U82" s="2">
        <v>0.9</v>
      </c>
    </row>
    <row r="83" spans="1:22">
      <c r="A83" t="s">
        <v>920</v>
      </c>
      <c r="B83" t="s">
        <v>1429</v>
      </c>
      <c r="C83" t="s">
        <v>825</v>
      </c>
      <c r="D83" t="s">
        <v>170</v>
      </c>
      <c r="G83">
        <v>9</v>
      </c>
      <c r="V83" s="2">
        <v>0.3</v>
      </c>
    </row>
    <row r="84" spans="1:12">
      <c r="A84" t="s">
        <v>794</v>
      </c>
      <c r="B84" t="s">
        <v>1421</v>
      </c>
      <c r="C84" t="s">
        <v>780</v>
      </c>
      <c r="D84" t="s">
        <v>170</v>
      </c>
      <c r="E84" t="s">
        <v>1418</v>
      </c>
      <c r="G84">
        <v>9</v>
      </c>
      <c r="K84" s="2">
        <v>0.4</v>
      </c>
      <c r="L84" s="2">
        <v>0.2</v>
      </c>
    </row>
    <row r="85" spans="1:12">
      <c r="A85" t="s">
        <v>798</v>
      </c>
      <c r="B85" t="s">
        <v>1421</v>
      </c>
      <c r="C85" t="s">
        <v>780</v>
      </c>
      <c r="D85" t="s">
        <v>170</v>
      </c>
      <c r="E85" t="s">
        <v>1419</v>
      </c>
      <c r="G85">
        <v>9</v>
      </c>
      <c r="K85" s="2">
        <v>0.4</v>
      </c>
      <c r="L85" s="2">
        <v>0.2</v>
      </c>
    </row>
    <row r="86" spans="1:12">
      <c r="A86" t="s">
        <v>796</v>
      </c>
      <c r="B86" t="s">
        <v>1421</v>
      </c>
      <c r="C86" t="s">
        <v>780</v>
      </c>
      <c r="D86" t="s">
        <v>170</v>
      </c>
      <c r="E86" t="s">
        <v>1420</v>
      </c>
      <c r="G86">
        <v>9</v>
      </c>
      <c r="K86" s="2">
        <v>0.4</v>
      </c>
      <c r="L86" s="2">
        <v>0.2</v>
      </c>
    </row>
    <row r="87" customFormat="1" spans="1:12">
      <c r="A87" t="s">
        <v>794</v>
      </c>
      <c r="B87" t="s">
        <v>1417</v>
      </c>
      <c r="C87" t="s">
        <v>780</v>
      </c>
      <c r="D87" t="s">
        <v>140</v>
      </c>
      <c r="E87" t="s">
        <v>1418</v>
      </c>
      <c r="G87">
        <v>9</v>
      </c>
      <c r="K87" s="2">
        <v>0.4</v>
      </c>
      <c r="L87" s="2">
        <v>0.2</v>
      </c>
    </row>
    <row r="88" customFormat="1" spans="1:12">
      <c r="A88" t="s">
        <v>798</v>
      </c>
      <c r="B88" t="s">
        <v>1417</v>
      </c>
      <c r="C88" t="s">
        <v>780</v>
      </c>
      <c r="D88" t="s">
        <v>140</v>
      </c>
      <c r="E88" t="s">
        <v>1419</v>
      </c>
      <c r="G88">
        <v>9</v>
      </c>
      <c r="K88" s="2">
        <v>0.4</v>
      </c>
      <c r="L88" s="2">
        <v>0.2</v>
      </c>
    </row>
    <row r="89" customFormat="1" spans="1:12">
      <c r="A89" t="s">
        <v>796</v>
      </c>
      <c r="B89" t="s">
        <v>1417</v>
      </c>
      <c r="C89" t="s">
        <v>780</v>
      </c>
      <c r="D89" t="s">
        <v>140</v>
      </c>
      <c r="E89" t="s">
        <v>1420</v>
      </c>
      <c r="G89">
        <v>9</v>
      </c>
      <c r="K89" s="2">
        <v>0.4</v>
      </c>
      <c r="L89" s="2">
        <v>0.2</v>
      </c>
    </row>
    <row r="90" customFormat="1" spans="1:8">
      <c r="A90" t="s">
        <v>713</v>
      </c>
      <c r="B90" t="s">
        <v>1439</v>
      </c>
      <c r="C90" t="s">
        <v>78</v>
      </c>
      <c r="D90" t="s">
        <v>732</v>
      </c>
      <c r="F90" t="s">
        <v>1355</v>
      </c>
      <c r="G90">
        <v>31</v>
      </c>
      <c r="H90" s="2">
        <v>1.5</v>
      </c>
    </row>
    <row r="91" customFormat="1" spans="1:9">
      <c r="A91" t="s">
        <v>177</v>
      </c>
      <c r="B91" t="s">
        <v>1439</v>
      </c>
      <c r="C91" t="s">
        <v>78</v>
      </c>
      <c r="D91" t="s">
        <v>732</v>
      </c>
      <c r="F91" t="s">
        <v>1355</v>
      </c>
      <c r="G91">
        <v>32</v>
      </c>
      <c r="I91" s="2">
        <v>1</v>
      </c>
    </row>
    <row r="92" customFormat="1" spans="1:10">
      <c r="A92" t="s">
        <v>154</v>
      </c>
      <c r="B92" t="s">
        <v>1439</v>
      </c>
      <c r="C92" t="s">
        <v>78</v>
      </c>
      <c r="D92" t="s">
        <v>732</v>
      </c>
      <c r="F92" t="s">
        <v>1355</v>
      </c>
      <c r="G92">
        <v>32</v>
      </c>
      <c r="J92" s="2">
        <v>1</v>
      </c>
    </row>
    <row r="93" customFormat="1" spans="1:12">
      <c r="A93" t="s">
        <v>717</v>
      </c>
      <c r="B93" t="s">
        <v>1439</v>
      </c>
      <c r="C93" t="s">
        <v>78</v>
      </c>
      <c r="D93" t="s">
        <v>732</v>
      </c>
      <c r="F93" t="s">
        <v>1361</v>
      </c>
      <c r="G93">
        <v>36</v>
      </c>
      <c r="K93" s="2">
        <v>1</v>
      </c>
      <c r="L93" s="2"/>
    </row>
    <row r="94" customFormat="1" spans="1:13">
      <c r="A94" t="s">
        <v>153</v>
      </c>
      <c r="B94" t="s">
        <v>1439</v>
      </c>
      <c r="C94" t="s">
        <v>78</v>
      </c>
      <c r="D94" t="s">
        <v>732</v>
      </c>
      <c r="F94" t="s">
        <v>1359</v>
      </c>
      <c r="G94">
        <v>36</v>
      </c>
      <c r="M94" s="2">
        <v>0.5</v>
      </c>
    </row>
    <row r="95" customFormat="1" spans="1:14">
      <c r="A95" t="s">
        <v>809</v>
      </c>
      <c r="B95" t="s">
        <v>1439</v>
      </c>
      <c r="C95" t="s">
        <v>78</v>
      </c>
      <c r="D95" t="s">
        <v>732</v>
      </c>
      <c r="F95" t="s">
        <v>1359</v>
      </c>
      <c r="G95">
        <v>36</v>
      </c>
      <c r="L95" s="2"/>
      <c r="N95">
        <v>1.21</v>
      </c>
    </row>
    <row r="96" customFormat="1" spans="1:12">
      <c r="A96" t="s">
        <v>155</v>
      </c>
      <c r="B96" t="s">
        <v>1439</v>
      </c>
      <c r="C96" t="s">
        <v>78</v>
      </c>
      <c r="D96" t="s">
        <v>732</v>
      </c>
      <c r="F96" t="s">
        <v>1355</v>
      </c>
      <c r="G96">
        <v>31</v>
      </c>
      <c r="L96" s="2">
        <v>1.5</v>
      </c>
    </row>
    <row r="97" customFormat="1" spans="1:12">
      <c r="A97" t="s">
        <v>722</v>
      </c>
      <c r="B97" t="s">
        <v>1439</v>
      </c>
      <c r="C97" t="s">
        <v>78</v>
      </c>
      <c r="D97" t="s">
        <v>732</v>
      </c>
      <c r="F97" t="s">
        <v>1355</v>
      </c>
      <c r="G97">
        <v>31</v>
      </c>
      <c r="L97" s="2">
        <v>1.5</v>
      </c>
    </row>
    <row r="98" customFormat="1" spans="1:12">
      <c r="A98" t="s">
        <v>720</v>
      </c>
      <c r="B98" t="s">
        <v>1439</v>
      </c>
      <c r="C98" t="s">
        <v>78</v>
      </c>
      <c r="D98" t="s">
        <v>732</v>
      </c>
      <c r="F98" t="s">
        <v>1355</v>
      </c>
      <c r="G98">
        <v>31</v>
      </c>
      <c r="L98" s="2">
        <v>1.5</v>
      </c>
    </row>
    <row r="99" customFormat="1" spans="1:8">
      <c r="A99" t="s">
        <v>713</v>
      </c>
      <c r="B99" t="s">
        <v>1440</v>
      </c>
      <c r="C99" t="s">
        <v>78</v>
      </c>
      <c r="D99" t="s">
        <v>738</v>
      </c>
      <c r="F99" t="s">
        <v>1355</v>
      </c>
      <c r="G99">
        <v>31</v>
      </c>
      <c r="H99" s="2">
        <v>1.5</v>
      </c>
    </row>
    <row r="100" customFormat="1" spans="1:9">
      <c r="A100" t="s">
        <v>177</v>
      </c>
      <c r="B100" t="s">
        <v>1440</v>
      </c>
      <c r="C100" t="s">
        <v>78</v>
      </c>
      <c r="D100" t="s">
        <v>738</v>
      </c>
      <c r="F100" t="s">
        <v>1355</v>
      </c>
      <c r="G100">
        <v>32</v>
      </c>
      <c r="I100" s="2">
        <v>1</v>
      </c>
    </row>
    <row r="101" customFormat="1" spans="1:10">
      <c r="A101" t="s">
        <v>154</v>
      </c>
      <c r="B101" t="s">
        <v>1440</v>
      </c>
      <c r="C101" t="s">
        <v>78</v>
      </c>
      <c r="D101" t="s">
        <v>738</v>
      </c>
      <c r="F101" t="s">
        <v>1355</v>
      </c>
      <c r="G101">
        <v>32</v>
      </c>
      <c r="J101" s="2">
        <v>1</v>
      </c>
    </row>
    <row r="102" customFormat="1" spans="1:12">
      <c r="A102" t="s">
        <v>717</v>
      </c>
      <c r="B102" t="s">
        <v>1440</v>
      </c>
      <c r="C102" t="s">
        <v>78</v>
      </c>
      <c r="D102" t="s">
        <v>738</v>
      </c>
      <c r="F102" t="s">
        <v>1361</v>
      </c>
      <c r="G102">
        <v>36</v>
      </c>
      <c r="K102" s="2">
        <v>1</v>
      </c>
      <c r="L102" s="2"/>
    </row>
    <row r="103" customFormat="1" spans="1:13">
      <c r="A103" t="s">
        <v>153</v>
      </c>
      <c r="B103" t="s">
        <v>1440</v>
      </c>
      <c r="C103" t="s">
        <v>78</v>
      </c>
      <c r="D103" t="s">
        <v>738</v>
      </c>
      <c r="F103" t="s">
        <v>1359</v>
      </c>
      <c r="G103">
        <v>36</v>
      </c>
      <c r="M103" s="2">
        <v>0.5</v>
      </c>
    </row>
    <row r="104" customFormat="1" spans="1:15">
      <c r="A104" t="s">
        <v>173</v>
      </c>
      <c r="B104" t="s">
        <v>1440</v>
      </c>
      <c r="C104" t="s">
        <v>78</v>
      </c>
      <c r="D104" t="s">
        <v>738</v>
      </c>
      <c r="F104" t="s">
        <v>1359</v>
      </c>
      <c r="G104">
        <v>36</v>
      </c>
      <c r="O104" s="2">
        <v>0.5</v>
      </c>
    </row>
    <row r="105" customFormat="1" spans="1:12">
      <c r="A105" t="s">
        <v>155</v>
      </c>
      <c r="B105" t="s">
        <v>1440</v>
      </c>
      <c r="C105" t="s">
        <v>78</v>
      </c>
      <c r="D105" t="s">
        <v>738</v>
      </c>
      <c r="F105" t="s">
        <v>1355</v>
      </c>
      <c r="G105">
        <v>31</v>
      </c>
      <c r="L105" s="2">
        <v>1.5</v>
      </c>
    </row>
    <row r="106" customFormat="1" spans="1:12">
      <c r="A106" t="s">
        <v>722</v>
      </c>
      <c r="B106" t="s">
        <v>1440</v>
      </c>
      <c r="C106" t="s">
        <v>78</v>
      </c>
      <c r="D106" t="s">
        <v>738</v>
      </c>
      <c r="F106" t="s">
        <v>1355</v>
      </c>
      <c r="G106">
        <v>31</v>
      </c>
      <c r="L106" s="2">
        <v>1.5</v>
      </c>
    </row>
    <row r="107" customFormat="1" spans="1:12">
      <c r="A107" t="s">
        <v>720</v>
      </c>
      <c r="B107" t="s">
        <v>1440</v>
      </c>
      <c r="C107" t="s">
        <v>78</v>
      </c>
      <c r="D107" t="s">
        <v>738</v>
      </c>
      <c r="F107" t="s">
        <v>1355</v>
      </c>
      <c r="G107">
        <v>31</v>
      </c>
      <c r="L107" s="2">
        <v>1.5</v>
      </c>
    </row>
    <row r="108" spans="1:8">
      <c r="A108" t="s">
        <v>713</v>
      </c>
      <c r="B108" t="s">
        <v>1417</v>
      </c>
      <c r="C108" s="9" t="s">
        <v>704</v>
      </c>
      <c r="D108" t="s">
        <v>140</v>
      </c>
      <c r="G108">
        <v>6</v>
      </c>
      <c r="H108" s="2">
        <v>0.3</v>
      </c>
    </row>
    <row r="109" spans="1:9">
      <c r="A109" t="s">
        <v>177</v>
      </c>
      <c r="B109" t="s">
        <v>1417</v>
      </c>
      <c r="C109" s="9" t="s">
        <v>704</v>
      </c>
      <c r="D109" t="s">
        <v>140</v>
      </c>
      <c r="G109">
        <v>9</v>
      </c>
      <c r="I109" s="2">
        <v>0.4</v>
      </c>
    </row>
    <row r="110" spans="1:10">
      <c r="A110" t="s">
        <v>154</v>
      </c>
      <c r="B110" t="s">
        <v>1417</v>
      </c>
      <c r="C110" s="9" t="s">
        <v>704</v>
      </c>
      <c r="D110" t="s">
        <v>140</v>
      </c>
      <c r="G110">
        <v>8</v>
      </c>
      <c r="J110" s="2">
        <v>0.4</v>
      </c>
    </row>
    <row r="111" spans="1:11">
      <c r="A111" t="s">
        <v>717</v>
      </c>
      <c r="B111" t="s">
        <v>1417</v>
      </c>
      <c r="C111" s="9" t="s">
        <v>704</v>
      </c>
      <c r="D111" t="s">
        <v>140</v>
      </c>
      <c r="G111">
        <v>7</v>
      </c>
      <c r="K111" s="2">
        <v>0.4</v>
      </c>
    </row>
    <row r="112" spans="1:12">
      <c r="A112" t="s">
        <v>155</v>
      </c>
      <c r="B112" t="s">
        <v>1417</v>
      </c>
      <c r="C112" s="9" t="s">
        <v>704</v>
      </c>
      <c r="D112" t="s">
        <v>140</v>
      </c>
      <c r="G112">
        <v>7</v>
      </c>
      <c r="L112" s="12">
        <v>0.2</v>
      </c>
    </row>
    <row r="113" spans="1:12">
      <c r="A113" t="s">
        <v>720</v>
      </c>
      <c r="B113" t="s">
        <v>1417</v>
      </c>
      <c r="C113" s="9" t="s">
        <v>704</v>
      </c>
      <c r="D113" t="s">
        <v>140</v>
      </c>
      <c r="G113">
        <v>7</v>
      </c>
      <c r="L113" s="12">
        <v>0.2</v>
      </c>
    </row>
    <row r="114" spans="1:12">
      <c r="A114" t="s">
        <v>722</v>
      </c>
      <c r="B114" t="s">
        <v>1417</v>
      </c>
      <c r="C114" s="9" t="s">
        <v>704</v>
      </c>
      <c r="D114" t="s">
        <v>140</v>
      </c>
      <c r="G114">
        <v>7</v>
      </c>
      <c r="L114" s="12">
        <v>0.2</v>
      </c>
    </row>
    <row r="115" spans="1:8">
      <c r="A115" t="s">
        <v>713</v>
      </c>
      <c r="B115" t="s">
        <v>1421</v>
      </c>
      <c r="C115" s="9" t="s">
        <v>704</v>
      </c>
      <c r="D115" t="s">
        <v>170</v>
      </c>
      <c r="G115">
        <v>6</v>
      </c>
      <c r="H115" s="2">
        <v>0.3</v>
      </c>
    </row>
    <row r="116" spans="1:9">
      <c r="A116" t="s">
        <v>177</v>
      </c>
      <c r="B116" t="s">
        <v>1421</v>
      </c>
      <c r="C116" s="9" t="s">
        <v>704</v>
      </c>
      <c r="D116" t="s">
        <v>170</v>
      </c>
      <c r="G116">
        <v>9</v>
      </c>
      <c r="I116" s="2">
        <v>0.4</v>
      </c>
    </row>
    <row r="117" spans="1:10">
      <c r="A117" t="s">
        <v>154</v>
      </c>
      <c r="B117" t="s">
        <v>1421</v>
      </c>
      <c r="C117" s="9" t="s">
        <v>704</v>
      </c>
      <c r="D117" t="s">
        <v>170</v>
      </c>
      <c r="G117">
        <v>8</v>
      </c>
      <c r="J117" s="2">
        <v>0.4</v>
      </c>
    </row>
    <row r="118" spans="1:11">
      <c r="A118" t="s">
        <v>717</v>
      </c>
      <c r="B118" t="s">
        <v>1421</v>
      </c>
      <c r="C118" s="9" t="s">
        <v>704</v>
      </c>
      <c r="D118" t="s">
        <v>170</v>
      </c>
      <c r="G118">
        <v>7</v>
      </c>
      <c r="K118" s="2">
        <v>0.4</v>
      </c>
    </row>
    <row r="119" spans="1:12">
      <c r="A119" t="s">
        <v>155</v>
      </c>
      <c r="B119" t="s">
        <v>1421</v>
      </c>
      <c r="C119" s="9" t="s">
        <v>704</v>
      </c>
      <c r="D119" t="s">
        <v>170</v>
      </c>
      <c r="G119">
        <v>7</v>
      </c>
      <c r="L119" s="12">
        <v>0.2</v>
      </c>
    </row>
    <row r="120" spans="1:12">
      <c r="A120" t="s">
        <v>720</v>
      </c>
      <c r="B120" t="s">
        <v>1421</v>
      </c>
      <c r="C120" s="9" t="s">
        <v>704</v>
      </c>
      <c r="D120" t="s">
        <v>170</v>
      </c>
      <c r="G120">
        <v>7</v>
      </c>
      <c r="L120" s="12">
        <v>0.2</v>
      </c>
    </row>
    <row r="121" spans="1:12">
      <c r="A121" t="s">
        <v>722</v>
      </c>
      <c r="B121" t="s">
        <v>1421</v>
      </c>
      <c r="C121" s="9" t="s">
        <v>704</v>
      </c>
      <c r="D121" t="s">
        <v>170</v>
      </c>
      <c r="G121">
        <v>7</v>
      </c>
      <c r="L121" s="12">
        <v>0.2</v>
      </c>
    </row>
    <row r="122" spans="1:9">
      <c r="A122" t="s">
        <v>790</v>
      </c>
      <c r="B122" t="s">
        <v>1417</v>
      </c>
      <c r="C122" s="9" t="s">
        <v>780</v>
      </c>
      <c r="D122" t="s">
        <v>140</v>
      </c>
      <c r="G122">
        <v>11</v>
      </c>
      <c r="H122" s="2">
        <v>0.3</v>
      </c>
      <c r="I122" s="2">
        <v>0.4</v>
      </c>
    </row>
    <row r="123" spans="1:11">
      <c r="A123" t="s">
        <v>792</v>
      </c>
      <c r="B123" t="s">
        <v>1417</v>
      </c>
      <c r="C123" s="9" t="s">
        <v>780</v>
      </c>
      <c r="D123" t="s">
        <v>140</v>
      </c>
      <c r="G123">
        <v>10</v>
      </c>
      <c r="J123" s="2">
        <v>0.4</v>
      </c>
      <c r="K123" s="2">
        <v>0.4</v>
      </c>
    </row>
    <row r="124" spans="1:9">
      <c r="A124" t="s">
        <v>790</v>
      </c>
      <c r="B124" t="s">
        <v>1421</v>
      </c>
      <c r="C124" s="9" t="s">
        <v>780</v>
      </c>
      <c r="D124" t="s">
        <v>170</v>
      </c>
      <c r="G124">
        <v>11</v>
      </c>
      <c r="H124" s="2">
        <v>0.3</v>
      </c>
      <c r="I124" s="2">
        <v>0.4</v>
      </c>
    </row>
    <row r="125" spans="1:11">
      <c r="A125" t="s">
        <v>792</v>
      </c>
      <c r="B125" t="s">
        <v>1421</v>
      </c>
      <c r="C125" s="9" t="s">
        <v>780</v>
      </c>
      <c r="D125" t="s">
        <v>170</v>
      </c>
      <c r="G125">
        <v>10</v>
      </c>
      <c r="J125" s="2">
        <v>0.4</v>
      </c>
      <c r="K125" s="2">
        <v>0.4</v>
      </c>
    </row>
    <row r="126" spans="1:13">
      <c r="A126" t="s">
        <v>153</v>
      </c>
      <c r="B126" t="s">
        <v>1417</v>
      </c>
      <c r="C126" t="s">
        <v>825</v>
      </c>
      <c r="D126" t="s">
        <v>140</v>
      </c>
      <c r="G126">
        <v>12</v>
      </c>
      <c r="M126" s="2">
        <v>0.2</v>
      </c>
    </row>
    <row r="127" spans="1:14">
      <c r="A127" t="s">
        <v>809</v>
      </c>
      <c r="B127" t="s">
        <v>1417</v>
      </c>
      <c r="C127" t="s">
        <v>825</v>
      </c>
      <c r="D127" t="s">
        <v>140</v>
      </c>
      <c r="G127">
        <v>9</v>
      </c>
      <c r="N127">
        <v>1</v>
      </c>
    </row>
    <row r="128" spans="1:12">
      <c r="A128" t="s">
        <v>155</v>
      </c>
      <c r="B128" t="s">
        <v>1417</v>
      </c>
      <c r="C128" t="s">
        <v>825</v>
      </c>
      <c r="D128" t="s">
        <v>140</v>
      </c>
      <c r="G128">
        <v>12</v>
      </c>
      <c r="L128" s="2">
        <v>0.5</v>
      </c>
    </row>
    <row r="129" spans="1:12">
      <c r="A129" t="s">
        <v>720</v>
      </c>
      <c r="B129" t="s">
        <v>1417</v>
      </c>
      <c r="C129" t="s">
        <v>825</v>
      </c>
      <c r="D129" t="s">
        <v>140</v>
      </c>
      <c r="G129">
        <v>12</v>
      </c>
      <c r="L129" s="2">
        <v>0.5</v>
      </c>
    </row>
    <row r="130" spans="1:12">
      <c r="A130" s="9" t="s">
        <v>722</v>
      </c>
      <c r="B130" t="s">
        <v>1417</v>
      </c>
      <c r="C130" t="s">
        <v>825</v>
      </c>
      <c r="D130" t="s">
        <v>140</v>
      </c>
      <c r="G130">
        <v>12</v>
      </c>
      <c r="L130" s="2">
        <v>0.5</v>
      </c>
    </row>
    <row r="131" hidden="1" spans="1:12">
      <c r="A131" t="s">
        <v>153</v>
      </c>
      <c r="C131" t="s">
        <v>825</v>
      </c>
      <c r="D131" t="s">
        <v>140</v>
      </c>
      <c r="G131">
        <v>15</v>
      </c>
      <c r="L131" s="2">
        <v>0.5</v>
      </c>
    </row>
    <row r="132" spans="1:13">
      <c r="A132" t="s">
        <v>153</v>
      </c>
      <c r="B132" t="s">
        <v>1421</v>
      </c>
      <c r="C132" t="s">
        <v>825</v>
      </c>
      <c r="D132" t="s">
        <v>170</v>
      </c>
      <c r="G132">
        <v>12</v>
      </c>
      <c r="M132" s="2">
        <v>0.2</v>
      </c>
    </row>
    <row r="133" spans="1:15">
      <c r="A133" t="s">
        <v>173</v>
      </c>
      <c r="B133" t="s">
        <v>1421</v>
      </c>
      <c r="C133" t="s">
        <v>825</v>
      </c>
      <c r="D133" t="s">
        <v>170</v>
      </c>
      <c r="G133">
        <v>14</v>
      </c>
      <c r="O133" s="2">
        <v>0.6</v>
      </c>
    </row>
    <row r="134" spans="1:12">
      <c r="A134" t="s">
        <v>155</v>
      </c>
      <c r="B134" t="s">
        <v>1421</v>
      </c>
      <c r="C134" t="s">
        <v>825</v>
      </c>
      <c r="D134" t="s">
        <v>170</v>
      </c>
      <c r="G134">
        <v>12</v>
      </c>
      <c r="L134" s="2">
        <v>0.5</v>
      </c>
    </row>
    <row r="135" spans="1:12">
      <c r="A135" t="s">
        <v>720</v>
      </c>
      <c r="B135" t="s">
        <v>1421</v>
      </c>
      <c r="C135" t="s">
        <v>825</v>
      </c>
      <c r="D135" t="s">
        <v>170</v>
      </c>
      <c r="G135">
        <v>12</v>
      </c>
      <c r="L135" s="2">
        <v>0.5</v>
      </c>
    </row>
    <row r="136" spans="1:12">
      <c r="A136" t="s">
        <v>722</v>
      </c>
      <c r="B136" t="s">
        <v>1421</v>
      </c>
      <c r="C136" t="s">
        <v>825</v>
      </c>
      <c r="D136" t="s">
        <v>170</v>
      </c>
      <c r="G136">
        <v>12</v>
      </c>
      <c r="L136" s="2">
        <v>0.5</v>
      </c>
    </row>
    <row r="137" spans="1:8">
      <c r="A137" t="s">
        <v>713</v>
      </c>
      <c r="B137" t="s">
        <v>1417</v>
      </c>
      <c r="C137" s="9" t="s">
        <v>959</v>
      </c>
      <c r="D137" t="s">
        <v>140</v>
      </c>
      <c r="G137">
        <v>10</v>
      </c>
      <c r="H137" s="2">
        <v>0.75</v>
      </c>
    </row>
    <row r="138" spans="1:8">
      <c r="A138" t="s">
        <v>713</v>
      </c>
      <c r="B138" t="s">
        <v>1421</v>
      </c>
      <c r="C138" s="9" t="s">
        <v>959</v>
      </c>
      <c r="D138" t="s">
        <v>170</v>
      </c>
      <c r="G138">
        <v>10</v>
      </c>
      <c r="H138" s="2">
        <v>0.75</v>
      </c>
    </row>
    <row r="139" spans="1:11">
      <c r="A139" t="s">
        <v>792</v>
      </c>
      <c r="B139" t="s">
        <v>1421</v>
      </c>
      <c r="C139" s="9" t="s">
        <v>959</v>
      </c>
      <c r="D139" t="s">
        <v>170</v>
      </c>
      <c r="G139">
        <v>19</v>
      </c>
      <c r="J139" s="2">
        <v>0.8</v>
      </c>
      <c r="K139" s="2">
        <v>0.8</v>
      </c>
    </row>
    <row r="140" spans="1:8">
      <c r="A140" t="s">
        <v>713</v>
      </c>
      <c r="B140" t="s">
        <v>1439</v>
      </c>
      <c r="C140" s="9" t="s">
        <v>959</v>
      </c>
      <c r="D140" t="s">
        <v>732</v>
      </c>
      <c r="F140" t="s">
        <v>1355</v>
      </c>
      <c r="G140">
        <v>16</v>
      </c>
      <c r="H140" s="2">
        <v>0.75</v>
      </c>
    </row>
    <row r="141" spans="1:9">
      <c r="A141" t="s">
        <v>177</v>
      </c>
      <c r="B141" t="s">
        <v>1439</v>
      </c>
      <c r="C141" s="9" t="s">
        <v>959</v>
      </c>
      <c r="D141" t="s">
        <v>732</v>
      </c>
      <c r="F141" t="s">
        <v>1355</v>
      </c>
      <c r="G141">
        <v>17</v>
      </c>
      <c r="I141" s="2">
        <v>0.5</v>
      </c>
    </row>
    <row r="142" spans="1:10">
      <c r="A142" t="s">
        <v>154</v>
      </c>
      <c r="B142" t="s">
        <v>1439</v>
      </c>
      <c r="C142" s="9" t="s">
        <v>959</v>
      </c>
      <c r="D142" t="s">
        <v>732</v>
      </c>
      <c r="F142" t="s">
        <v>1355</v>
      </c>
      <c r="G142">
        <v>17</v>
      </c>
      <c r="J142" s="2">
        <v>0.5</v>
      </c>
    </row>
    <row r="143" spans="1:11">
      <c r="A143" t="s">
        <v>717</v>
      </c>
      <c r="B143" t="s">
        <v>1439</v>
      </c>
      <c r="C143" s="9" t="s">
        <v>959</v>
      </c>
      <c r="D143" t="s">
        <v>732</v>
      </c>
      <c r="F143" t="s">
        <v>1361</v>
      </c>
      <c r="G143">
        <v>21</v>
      </c>
      <c r="K143" s="2">
        <v>0.5</v>
      </c>
    </row>
    <row r="144" spans="1:13">
      <c r="A144" t="s">
        <v>153</v>
      </c>
      <c r="B144" t="s">
        <v>1439</v>
      </c>
      <c r="C144" s="9" t="s">
        <v>959</v>
      </c>
      <c r="D144" t="s">
        <v>732</v>
      </c>
      <c r="F144" t="s">
        <v>1359</v>
      </c>
      <c r="G144">
        <v>21</v>
      </c>
      <c r="M144" s="2">
        <v>0.25</v>
      </c>
    </row>
    <row r="145" spans="1:14">
      <c r="A145" t="s">
        <v>809</v>
      </c>
      <c r="B145" t="s">
        <v>1439</v>
      </c>
      <c r="C145" s="9" t="s">
        <v>959</v>
      </c>
      <c r="D145" t="s">
        <v>732</v>
      </c>
      <c r="F145" t="s">
        <v>1359</v>
      </c>
      <c r="G145">
        <v>21</v>
      </c>
      <c r="N145">
        <v>0.6</v>
      </c>
    </row>
    <row r="146" spans="1:12">
      <c r="A146" t="s">
        <v>155</v>
      </c>
      <c r="B146" t="s">
        <v>1439</v>
      </c>
      <c r="C146" s="9" t="s">
        <v>959</v>
      </c>
      <c r="D146" t="s">
        <v>732</v>
      </c>
      <c r="F146" t="s">
        <v>1355</v>
      </c>
      <c r="G146">
        <v>16</v>
      </c>
      <c r="L146" s="2">
        <v>0.75</v>
      </c>
    </row>
    <row r="147" spans="1:12">
      <c r="A147" t="s">
        <v>722</v>
      </c>
      <c r="B147" t="s">
        <v>1439</v>
      </c>
      <c r="C147" s="9" t="s">
        <v>959</v>
      </c>
      <c r="D147" t="s">
        <v>732</v>
      </c>
      <c r="F147" t="s">
        <v>1355</v>
      </c>
      <c r="G147">
        <v>16</v>
      </c>
      <c r="L147" s="2">
        <v>0.75</v>
      </c>
    </row>
    <row r="148" spans="1:12">
      <c r="A148" t="s">
        <v>720</v>
      </c>
      <c r="B148" t="s">
        <v>1439</v>
      </c>
      <c r="C148" s="9" t="s">
        <v>959</v>
      </c>
      <c r="D148" t="s">
        <v>732</v>
      </c>
      <c r="F148" t="s">
        <v>1355</v>
      </c>
      <c r="G148">
        <v>16</v>
      </c>
      <c r="L148" s="2">
        <v>0.75</v>
      </c>
    </row>
    <row r="149" spans="1:8">
      <c r="A149" t="s">
        <v>713</v>
      </c>
      <c r="B149" t="s">
        <v>1440</v>
      </c>
      <c r="C149" s="9" t="s">
        <v>959</v>
      </c>
      <c r="D149" t="s">
        <v>738</v>
      </c>
      <c r="F149" t="s">
        <v>1355</v>
      </c>
      <c r="G149">
        <v>16</v>
      </c>
      <c r="H149" s="2">
        <v>0.75</v>
      </c>
    </row>
    <row r="150" spans="1:9">
      <c r="A150" t="s">
        <v>177</v>
      </c>
      <c r="B150" t="s">
        <v>1440</v>
      </c>
      <c r="C150" s="9" t="s">
        <v>959</v>
      </c>
      <c r="D150" t="s">
        <v>738</v>
      </c>
      <c r="F150" t="s">
        <v>1355</v>
      </c>
      <c r="G150">
        <v>17</v>
      </c>
      <c r="I150" s="2">
        <v>0.5</v>
      </c>
    </row>
    <row r="151" spans="1:10">
      <c r="A151" t="s">
        <v>154</v>
      </c>
      <c r="B151" t="s">
        <v>1440</v>
      </c>
      <c r="C151" s="9" t="s">
        <v>959</v>
      </c>
      <c r="D151" t="s">
        <v>738</v>
      </c>
      <c r="F151" t="s">
        <v>1355</v>
      </c>
      <c r="G151">
        <v>17</v>
      </c>
      <c r="J151" s="2">
        <v>0.5</v>
      </c>
    </row>
    <row r="152" spans="1:11">
      <c r="A152" t="s">
        <v>717</v>
      </c>
      <c r="B152" t="s">
        <v>1440</v>
      </c>
      <c r="C152" s="9" t="s">
        <v>959</v>
      </c>
      <c r="D152" t="s">
        <v>738</v>
      </c>
      <c r="F152" t="s">
        <v>1361</v>
      </c>
      <c r="G152">
        <v>21</v>
      </c>
      <c r="K152" s="2">
        <v>0.5</v>
      </c>
    </row>
    <row r="153" spans="1:13">
      <c r="A153" t="s">
        <v>153</v>
      </c>
      <c r="B153" t="s">
        <v>1440</v>
      </c>
      <c r="C153" s="9" t="s">
        <v>959</v>
      </c>
      <c r="D153" t="s">
        <v>738</v>
      </c>
      <c r="F153" t="s">
        <v>1359</v>
      </c>
      <c r="G153">
        <v>21</v>
      </c>
      <c r="M153" s="2">
        <v>0.25</v>
      </c>
    </row>
    <row r="154" spans="1:15">
      <c r="A154" t="s">
        <v>173</v>
      </c>
      <c r="B154" t="s">
        <v>1440</v>
      </c>
      <c r="C154" s="9" t="s">
        <v>959</v>
      </c>
      <c r="D154" t="s">
        <v>738</v>
      </c>
      <c r="F154" t="s">
        <v>1359</v>
      </c>
      <c r="G154">
        <v>21</v>
      </c>
      <c r="O154" s="2">
        <v>0.25</v>
      </c>
    </row>
    <row r="155" spans="1:12">
      <c r="A155" t="s">
        <v>155</v>
      </c>
      <c r="B155" t="s">
        <v>1440</v>
      </c>
      <c r="C155" s="9" t="s">
        <v>959</v>
      </c>
      <c r="D155" t="s">
        <v>738</v>
      </c>
      <c r="F155" t="s">
        <v>1355</v>
      </c>
      <c r="G155">
        <v>16</v>
      </c>
      <c r="L155" s="2">
        <v>0.75</v>
      </c>
    </row>
    <row r="156" spans="1:12">
      <c r="A156" t="s">
        <v>722</v>
      </c>
      <c r="B156" t="s">
        <v>1440</v>
      </c>
      <c r="C156" s="9" t="s">
        <v>959</v>
      </c>
      <c r="D156" t="s">
        <v>738</v>
      </c>
      <c r="F156" t="s">
        <v>1355</v>
      </c>
      <c r="G156">
        <v>16</v>
      </c>
      <c r="L156" s="2">
        <v>0.75</v>
      </c>
    </row>
    <row r="157" spans="1:12">
      <c r="A157" t="s">
        <v>720</v>
      </c>
      <c r="B157" t="s">
        <v>1440</v>
      </c>
      <c r="C157" s="9" t="s">
        <v>959</v>
      </c>
      <c r="D157" t="s">
        <v>738</v>
      </c>
      <c r="F157" t="s">
        <v>1355</v>
      </c>
      <c r="G157">
        <v>16</v>
      </c>
      <c r="L157" s="2">
        <v>0.75</v>
      </c>
    </row>
    <row r="158" spans="1:8">
      <c r="A158" t="s">
        <v>713</v>
      </c>
      <c r="B158" t="s">
        <v>1439</v>
      </c>
      <c r="C158" s="9" t="s">
        <v>825</v>
      </c>
      <c r="D158" t="s">
        <v>732</v>
      </c>
      <c r="G158">
        <v>13</v>
      </c>
      <c r="H158" s="2">
        <v>0.6</v>
      </c>
    </row>
    <row r="159" spans="1:9">
      <c r="A159" t="s">
        <v>177</v>
      </c>
      <c r="B159" t="s">
        <v>1439</v>
      </c>
      <c r="C159" s="9" t="s">
        <v>825</v>
      </c>
      <c r="D159" t="s">
        <v>732</v>
      </c>
      <c r="G159">
        <v>14</v>
      </c>
      <c r="I159" s="2">
        <v>0.4</v>
      </c>
    </row>
    <row r="160" spans="1:10">
      <c r="A160" t="s">
        <v>154</v>
      </c>
      <c r="B160" t="s">
        <v>1439</v>
      </c>
      <c r="C160" s="9" t="s">
        <v>825</v>
      </c>
      <c r="D160" t="s">
        <v>732</v>
      </c>
      <c r="G160">
        <v>14</v>
      </c>
      <c r="J160" s="2">
        <v>0.4</v>
      </c>
    </row>
    <row r="161" spans="1:11">
      <c r="A161" t="s">
        <v>717</v>
      </c>
      <c r="B161" t="s">
        <v>1439</v>
      </c>
      <c r="C161" s="9" t="s">
        <v>825</v>
      </c>
      <c r="D161" t="s">
        <v>732</v>
      </c>
      <c r="G161">
        <v>18</v>
      </c>
      <c r="K161" s="2">
        <v>0.4</v>
      </c>
    </row>
    <row r="162" spans="1:13">
      <c r="A162" t="s">
        <v>153</v>
      </c>
      <c r="B162" t="s">
        <v>1439</v>
      </c>
      <c r="C162" s="9" t="s">
        <v>825</v>
      </c>
      <c r="D162" t="s">
        <v>732</v>
      </c>
      <c r="G162">
        <v>18</v>
      </c>
      <c r="M162" s="2">
        <v>0.2</v>
      </c>
    </row>
    <row r="163" spans="1:14">
      <c r="A163" t="s">
        <v>809</v>
      </c>
      <c r="B163" t="s">
        <v>1439</v>
      </c>
      <c r="C163" s="9" t="s">
        <v>825</v>
      </c>
      <c r="D163" t="s">
        <v>732</v>
      </c>
      <c r="G163">
        <v>18</v>
      </c>
      <c r="N163">
        <v>0.48</v>
      </c>
    </row>
    <row r="164" spans="1:12">
      <c r="A164" t="s">
        <v>155</v>
      </c>
      <c r="B164" t="s">
        <v>1439</v>
      </c>
      <c r="C164" s="9" t="s">
        <v>825</v>
      </c>
      <c r="D164" t="s">
        <v>732</v>
      </c>
      <c r="G164">
        <v>13</v>
      </c>
      <c r="L164" s="2">
        <v>0.6</v>
      </c>
    </row>
    <row r="165" spans="1:12">
      <c r="A165" t="s">
        <v>722</v>
      </c>
      <c r="B165" t="s">
        <v>1439</v>
      </c>
      <c r="C165" s="9" t="s">
        <v>825</v>
      </c>
      <c r="D165" t="s">
        <v>732</v>
      </c>
      <c r="G165">
        <v>13</v>
      </c>
      <c r="L165" s="2">
        <v>0.6</v>
      </c>
    </row>
    <row r="166" spans="1:12">
      <c r="A166" t="s">
        <v>720</v>
      </c>
      <c r="B166" t="s">
        <v>1439</v>
      </c>
      <c r="C166" s="9" t="s">
        <v>825</v>
      </c>
      <c r="D166" t="s">
        <v>732</v>
      </c>
      <c r="G166">
        <v>13</v>
      </c>
      <c r="L166" s="2">
        <v>0.6</v>
      </c>
    </row>
    <row r="167" spans="1:8">
      <c r="A167" t="s">
        <v>713</v>
      </c>
      <c r="B167" t="s">
        <v>1440</v>
      </c>
      <c r="C167" s="9" t="s">
        <v>825</v>
      </c>
      <c r="D167" t="s">
        <v>738</v>
      </c>
      <c r="G167">
        <v>13</v>
      </c>
      <c r="H167" s="2">
        <v>0.6</v>
      </c>
    </row>
    <row r="168" spans="1:9">
      <c r="A168" t="s">
        <v>177</v>
      </c>
      <c r="B168" t="s">
        <v>1440</v>
      </c>
      <c r="C168" s="9" t="s">
        <v>825</v>
      </c>
      <c r="D168" t="s">
        <v>738</v>
      </c>
      <c r="G168">
        <v>14</v>
      </c>
      <c r="I168" s="2">
        <v>0.4</v>
      </c>
    </row>
    <row r="169" spans="1:10">
      <c r="A169" t="s">
        <v>154</v>
      </c>
      <c r="B169" t="s">
        <v>1440</v>
      </c>
      <c r="C169" s="9" t="s">
        <v>825</v>
      </c>
      <c r="D169" t="s">
        <v>738</v>
      </c>
      <c r="G169">
        <v>14</v>
      </c>
      <c r="J169" s="2">
        <v>0.4</v>
      </c>
    </row>
    <row r="170" spans="1:11">
      <c r="A170" t="s">
        <v>717</v>
      </c>
      <c r="B170" t="s">
        <v>1440</v>
      </c>
      <c r="C170" s="9" t="s">
        <v>825</v>
      </c>
      <c r="D170" t="s">
        <v>738</v>
      </c>
      <c r="G170">
        <v>18</v>
      </c>
      <c r="K170" s="2">
        <v>0.4</v>
      </c>
    </row>
    <row r="171" spans="1:13">
      <c r="A171" t="s">
        <v>153</v>
      </c>
      <c r="B171" t="s">
        <v>1440</v>
      </c>
      <c r="C171" s="9" t="s">
        <v>825</v>
      </c>
      <c r="D171" t="s">
        <v>738</v>
      </c>
      <c r="G171">
        <v>18</v>
      </c>
      <c r="M171" s="2">
        <v>0.2</v>
      </c>
    </row>
    <row r="172" spans="1:15">
      <c r="A172" t="s">
        <v>173</v>
      </c>
      <c r="B172" t="s">
        <v>1440</v>
      </c>
      <c r="C172" s="9" t="s">
        <v>825</v>
      </c>
      <c r="D172" t="s">
        <v>738</v>
      </c>
      <c r="G172">
        <v>18</v>
      </c>
      <c r="O172" s="2">
        <v>0.2</v>
      </c>
    </row>
    <row r="173" spans="1:12">
      <c r="A173" t="s">
        <v>155</v>
      </c>
      <c r="B173" t="s">
        <v>1440</v>
      </c>
      <c r="C173" s="9" t="s">
        <v>825</v>
      </c>
      <c r="D173" t="s">
        <v>738</v>
      </c>
      <c r="G173">
        <v>13</v>
      </c>
      <c r="L173" s="2">
        <v>0.6</v>
      </c>
    </row>
    <row r="174" spans="1:12">
      <c r="A174" t="s">
        <v>722</v>
      </c>
      <c r="B174" t="s">
        <v>1440</v>
      </c>
      <c r="C174" s="9" t="s">
        <v>825</v>
      </c>
      <c r="D174" t="s">
        <v>738</v>
      </c>
      <c r="G174">
        <v>13</v>
      </c>
      <c r="L174" s="2">
        <v>0.6</v>
      </c>
    </row>
    <row r="175" spans="1:12">
      <c r="A175" t="s">
        <v>720</v>
      </c>
      <c r="B175" t="s">
        <v>1440</v>
      </c>
      <c r="C175" s="9" t="s">
        <v>825</v>
      </c>
      <c r="D175" t="s">
        <v>738</v>
      </c>
      <c r="G175">
        <v>13</v>
      </c>
      <c r="L175" s="2">
        <v>0.6</v>
      </c>
    </row>
    <row r="176" spans="1:8">
      <c r="A176" t="s">
        <v>713</v>
      </c>
      <c r="B176" t="s">
        <v>1439</v>
      </c>
      <c r="C176" s="9" t="s">
        <v>780</v>
      </c>
      <c r="D176" t="s">
        <v>732</v>
      </c>
      <c r="G176">
        <v>10</v>
      </c>
      <c r="H176" s="2">
        <v>0.3</v>
      </c>
    </row>
    <row r="177" spans="1:9">
      <c r="A177" t="s">
        <v>177</v>
      </c>
      <c r="B177" t="s">
        <v>1439</v>
      </c>
      <c r="C177" s="9" t="s">
        <v>780</v>
      </c>
      <c r="D177" t="s">
        <v>732</v>
      </c>
      <c r="G177">
        <v>11</v>
      </c>
      <c r="I177" s="2">
        <v>0.2</v>
      </c>
    </row>
    <row r="178" spans="1:10">
      <c r="A178" t="s">
        <v>154</v>
      </c>
      <c r="B178" t="s">
        <v>1439</v>
      </c>
      <c r="C178" s="9" t="s">
        <v>780</v>
      </c>
      <c r="D178" t="s">
        <v>732</v>
      </c>
      <c r="G178">
        <v>11</v>
      </c>
      <c r="J178" s="2">
        <v>0.2</v>
      </c>
    </row>
    <row r="179" spans="1:11">
      <c r="A179" t="s">
        <v>717</v>
      </c>
      <c r="B179" t="s">
        <v>1439</v>
      </c>
      <c r="C179" s="9" t="s">
        <v>780</v>
      </c>
      <c r="D179" t="s">
        <v>732</v>
      </c>
      <c r="G179">
        <v>15</v>
      </c>
      <c r="K179" s="2">
        <v>0.2</v>
      </c>
    </row>
    <row r="180" spans="1:13">
      <c r="A180" t="s">
        <v>153</v>
      </c>
      <c r="B180" t="s">
        <v>1439</v>
      </c>
      <c r="C180" s="9" t="s">
        <v>780</v>
      </c>
      <c r="D180" t="s">
        <v>732</v>
      </c>
      <c r="G180">
        <v>15</v>
      </c>
      <c r="M180" s="2">
        <v>0.1</v>
      </c>
    </row>
    <row r="181" spans="1:14">
      <c r="A181" t="s">
        <v>809</v>
      </c>
      <c r="B181" t="s">
        <v>1439</v>
      </c>
      <c r="C181" s="9" t="s">
        <v>780</v>
      </c>
      <c r="D181" t="s">
        <v>732</v>
      </c>
      <c r="G181">
        <v>15</v>
      </c>
      <c r="N181">
        <v>0.24</v>
      </c>
    </row>
    <row r="182" spans="1:12">
      <c r="A182" t="s">
        <v>155</v>
      </c>
      <c r="B182" t="s">
        <v>1439</v>
      </c>
      <c r="C182" s="9" t="s">
        <v>780</v>
      </c>
      <c r="D182" t="s">
        <v>732</v>
      </c>
      <c r="G182">
        <v>10</v>
      </c>
      <c r="L182" s="2">
        <v>0.3</v>
      </c>
    </row>
    <row r="183" spans="1:12">
      <c r="A183" t="s">
        <v>722</v>
      </c>
      <c r="B183" t="s">
        <v>1439</v>
      </c>
      <c r="C183" s="9" t="s">
        <v>780</v>
      </c>
      <c r="D183" t="s">
        <v>732</v>
      </c>
      <c r="G183">
        <v>10</v>
      </c>
      <c r="L183" s="2">
        <v>0.3</v>
      </c>
    </row>
    <row r="184" spans="1:12">
      <c r="A184" t="s">
        <v>720</v>
      </c>
      <c r="B184" t="s">
        <v>1439</v>
      </c>
      <c r="C184" s="9" t="s">
        <v>780</v>
      </c>
      <c r="D184" t="s">
        <v>732</v>
      </c>
      <c r="G184">
        <v>10</v>
      </c>
      <c r="L184" s="2">
        <v>0.3</v>
      </c>
    </row>
    <row r="185" spans="1:8">
      <c r="A185" t="s">
        <v>713</v>
      </c>
      <c r="B185" t="s">
        <v>1440</v>
      </c>
      <c r="C185" s="9" t="s">
        <v>780</v>
      </c>
      <c r="D185" t="s">
        <v>738</v>
      </c>
      <c r="G185">
        <v>10</v>
      </c>
      <c r="H185" s="2">
        <v>0.3</v>
      </c>
    </row>
    <row r="186" spans="1:9">
      <c r="A186" t="s">
        <v>177</v>
      </c>
      <c r="B186" t="s">
        <v>1440</v>
      </c>
      <c r="C186" s="9" t="s">
        <v>780</v>
      </c>
      <c r="D186" t="s">
        <v>738</v>
      </c>
      <c r="G186">
        <v>11</v>
      </c>
      <c r="I186" s="2">
        <v>0.2</v>
      </c>
    </row>
    <row r="187" spans="1:10">
      <c r="A187" t="s">
        <v>154</v>
      </c>
      <c r="B187" t="s">
        <v>1440</v>
      </c>
      <c r="C187" s="9" t="s">
        <v>780</v>
      </c>
      <c r="D187" t="s">
        <v>738</v>
      </c>
      <c r="G187">
        <v>11</v>
      </c>
      <c r="J187" s="2">
        <v>0.2</v>
      </c>
    </row>
    <row r="188" spans="1:11">
      <c r="A188" t="s">
        <v>717</v>
      </c>
      <c r="B188" t="s">
        <v>1440</v>
      </c>
      <c r="C188" s="9" t="s">
        <v>780</v>
      </c>
      <c r="D188" t="s">
        <v>738</v>
      </c>
      <c r="G188">
        <v>15</v>
      </c>
      <c r="K188" s="2">
        <v>0.2</v>
      </c>
    </row>
    <row r="189" spans="1:13">
      <c r="A189" t="s">
        <v>153</v>
      </c>
      <c r="B189" t="s">
        <v>1440</v>
      </c>
      <c r="C189" s="9" t="s">
        <v>780</v>
      </c>
      <c r="D189" t="s">
        <v>738</v>
      </c>
      <c r="G189">
        <v>15</v>
      </c>
      <c r="M189" s="2">
        <v>0.1</v>
      </c>
    </row>
    <row r="190" spans="1:15">
      <c r="A190" t="s">
        <v>173</v>
      </c>
      <c r="B190" t="s">
        <v>1440</v>
      </c>
      <c r="C190" s="9" t="s">
        <v>780</v>
      </c>
      <c r="D190" t="s">
        <v>738</v>
      </c>
      <c r="G190">
        <v>15</v>
      </c>
      <c r="O190" s="2">
        <v>0.1</v>
      </c>
    </row>
    <row r="191" spans="1:12">
      <c r="A191" t="s">
        <v>155</v>
      </c>
      <c r="B191" t="s">
        <v>1440</v>
      </c>
      <c r="C191" s="9" t="s">
        <v>780</v>
      </c>
      <c r="D191" t="s">
        <v>738</v>
      </c>
      <c r="G191">
        <v>10</v>
      </c>
      <c r="L191" s="2">
        <v>0.3</v>
      </c>
    </row>
    <row r="192" spans="1:12">
      <c r="A192" t="s">
        <v>722</v>
      </c>
      <c r="B192" t="s">
        <v>1440</v>
      </c>
      <c r="C192" s="9" t="s">
        <v>780</v>
      </c>
      <c r="D192" t="s">
        <v>738</v>
      </c>
      <c r="G192">
        <v>10</v>
      </c>
      <c r="L192" s="2">
        <v>0.3</v>
      </c>
    </row>
    <row r="193" spans="1:12">
      <c r="A193" t="s">
        <v>720</v>
      </c>
      <c r="B193" t="s">
        <v>1440</v>
      </c>
      <c r="C193" s="9" t="s">
        <v>780</v>
      </c>
      <c r="D193" t="s">
        <v>738</v>
      </c>
      <c r="G193">
        <v>10</v>
      </c>
      <c r="L193" s="2">
        <v>0.3</v>
      </c>
    </row>
    <row r="194" spans="1:9">
      <c r="A194" t="s">
        <v>713</v>
      </c>
      <c r="B194" t="s">
        <v>1439</v>
      </c>
      <c r="C194" s="9" t="s">
        <v>704</v>
      </c>
      <c r="D194" t="s">
        <v>732</v>
      </c>
      <c r="G194">
        <v>8</v>
      </c>
      <c r="I194" s="2">
        <v>0.15</v>
      </c>
    </row>
    <row r="195" spans="1:10">
      <c r="A195" t="s">
        <v>177</v>
      </c>
      <c r="B195" t="s">
        <v>1439</v>
      </c>
      <c r="C195" s="9" t="s">
        <v>704</v>
      </c>
      <c r="D195" t="s">
        <v>732</v>
      </c>
      <c r="G195">
        <v>9</v>
      </c>
      <c r="J195" s="2">
        <v>0.1</v>
      </c>
    </row>
    <row r="196" spans="1:11">
      <c r="A196" t="s">
        <v>154</v>
      </c>
      <c r="B196" t="s">
        <v>1439</v>
      </c>
      <c r="C196" s="9" t="s">
        <v>704</v>
      </c>
      <c r="D196" t="s">
        <v>732</v>
      </c>
      <c r="G196">
        <v>9</v>
      </c>
      <c r="K196" s="2">
        <v>0.1</v>
      </c>
    </row>
    <row r="197" spans="1:13">
      <c r="A197" t="s">
        <v>153</v>
      </c>
      <c r="B197" t="s">
        <v>1439</v>
      </c>
      <c r="C197" s="9" t="s">
        <v>704</v>
      </c>
      <c r="D197" t="s">
        <v>732</v>
      </c>
      <c r="G197">
        <v>11</v>
      </c>
      <c r="M197" s="2">
        <v>0.05</v>
      </c>
    </row>
    <row r="198" spans="1:12">
      <c r="A198" t="s">
        <v>717</v>
      </c>
      <c r="B198" t="s">
        <v>1439</v>
      </c>
      <c r="C198" s="9" t="s">
        <v>704</v>
      </c>
      <c r="D198" t="s">
        <v>732</v>
      </c>
      <c r="G198">
        <v>11</v>
      </c>
      <c r="L198" s="2">
        <v>0.1</v>
      </c>
    </row>
    <row r="199" spans="1:9">
      <c r="A199" t="s">
        <v>713</v>
      </c>
      <c r="B199" t="s">
        <v>1440</v>
      </c>
      <c r="C199" s="9" t="s">
        <v>704</v>
      </c>
      <c r="D199" t="s">
        <v>738</v>
      </c>
      <c r="G199">
        <v>8</v>
      </c>
      <c r="I199" s="2">
        <v>0.15</v>
      </c>
    </row>
    <row r="200" spans="1:10">
      <c r="A200" t="s">
        <v>177</v>
      </c>
      <c r="B200" t="s">
        <v>1440</v>
      </c>
      <c r="C200" s="9" t="s">
        <v>704</v>
      </c>
      <c r="D200" t="s">
        <v>738</v>
      </c>
      <c r="G200">
        <v>9</v>
      </c>
      <c r="J200" s="2">
        <v>0.1</v>
      </c>
    </row>
    <row r="201" spans="1:11">
      <c r="A201" t="s">
        <v>154</v>
      </c>
      <c r="B201" t="s">
        <v>1440</v>
      </c>
      <c r="C201" s="9" t="s">
        <v>704</v>
      </c>
      <c r="D201" t="s">
        <v>738</v>
      </c>
      <c r="G201">
        <v>9</v>
      </c>
      <c r="K201" s="2">
        <v>0.1</v>
      </c>
    </row>
    <row r="202" spans="1:13">
      <c r="A202" t="s">
        <v>153</v>
      </c>
      <c r="B202" t="s">
        <v>1440</v>
      </c>
      <c r="C202" s="9" t="s">
        <v>704</v>
      </c>
      <c r="D202" t="s">
        <v>738</v>
      </c>
      <c r="G202">
        <v>11</v>
      </c>
      <c r="M202" s="2">
        <v>0.05</v>
      </c>
    </row>
    <row r="203" spans="1:12">
      <c r="A203" t="s">
        <v>717</v>
      </c>
      <c r="B203" t="s">
        <v>1440</v>
      </c>
      <c r="C203" s="9" t="s">
        <v>704</v>
      </c>
      <c r="D203" t="s">
        <v>738</v>
      </c>
      <c r="G203">
        <v>11</v>
      </c>
      <c r="L203" s="2">
        <v>0.1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50"/>
  <sheetViews>
    <sheetView topLeftCell="B2" workbookViewId="0">
      <selection activeCell="C23" sqref="C23:E46"/>
    </sheetView>
  </sheetViews>
  <sheetFormatPr defaultColWidth="9" defaultRowHeight="14.25"/>
  <cols>
    <col min="1" max="2" width="11" customWidth="1"/>
    <col min="4" max="9" width="10.25" customWidth="1"/>
  </cols>
  <sheetData>
    <row r="1" spans="1:29">
      <c r="A1" s="6" t="s">
        <v>46</v>
      </c>
      <c r="B1" s="8" t="s">
        <v>146</v>
      </c>
      <c r="C1" s="8" t="s">
        <v>1441</v>
      </c>
      <c r="D1" s="6" t="s">
        <v>152</v>
      </c>
      <c r="E1" s="8" t="s">
        <v>174</v>
      </c>
      <c r="F1" s="6" t="s">
        <v>235</v>
      </c>
      <c r="G1" s="6" t="s">
        <v>1442</v>
      </c>
      <c r="H1" s="6" t="s">
        <v>1443</v>
      </c>
      <c r="I1" s="6" t="s">
        <v>1444</v>
      </c>
      <c r="J1" s="6" t="s">
        <v>147</v>
      </c>
      <c r="K1" s="6" t="s">
        <v>148</v>
      </c>
      <c r="L1" s="6" t="s">
        <v>149</v>
      </c>
      <c r="M1" s="6" t="s">
        <v>172</v>
      </c>
      <c r="N1" s="6" t="s">
        <v>150</v>
      </c>
      <c r="O1" s="6" t="s">
        <v>1445</v>
      </c>
      <c r="P1" s="6" t="s">
        <v>61</v>
      </c>
      <c r="Q1" s="6" t="s">
        <v>62</v>
      </c>
      <c r="R1" s="6" t="s">
        <v>63</v>
      </c>
      <c r="S1" s="6" t="s">
        <v>64</v>
      </c>
      <c r="T1" s="6" t="s">
        <v>85</v>
      </c>
      <c r="U1" s="6" t="s">
        <v>58</v>
      </c>
      <c r="V1" s="6" t="s">
        <v>59</v>
      </c>
      <c r="W1" s="6" t="s">
        <v>84</v>
      </c>
      <c r="X1" s="6" t="s">
        <v>60</v>
      </c>
      <c r="Y1" s="6" t="s">
        <v>66</v>
      </c>
      <c r="Z1" s="6" t="s">
        <v>65</v>
      </c>
      <c r="AA1" s="7" t="s">
        <v>67</v>
      </c>
      <c r="AB1" s="7" t="s">
        <v>94</v>
      </c>
      <c r="AC1" s="7" t="s">
        <v>68</v>
      </c>
    </row>
    <row r="2" spans="1:29">
      <c r="A2" t="s">
        <v>1336</v>
      </c>
      <c r="B2" s="9" t="s">
        <v>140</v>
      </c>
      <c r="C2" t="s">
        <v>253</v>
      </c>
      <c r="D2" t="s">
        <v>1419</v>
      </c>
      <c r="F2">
        <v>238.49</v>
      </c>
      <c r="G2" s="2">
        <v>0.24</v>
      </c>
      <c r="H2" s="2">
        <v>2.05</v>
      </c>
      <c r="I2" s="2">
        <v>0.15</v>
      </c>
      <c r="J2" s="2"/>
      <c r="K2" s="2"/>
      <c r="L2" s="2"/>
      <c r="M2" s="2"/>
      <c r="N2" s="2"/>
      <c r="O2" s="4"/>
      <c r="P2" s="2"/>
      <c r="Q2" s="2">
        <v>0.9</v>
      </c>
      <c r="R2" s="2"/>
      <c r="S2" s="2"/>
      <c r="T2" s="2"/>
      <c r="U2" s="2"/>
      <c r="V2" s="2">
        <v>1</v>
      </c>
      <c r="W2" s="2"/>
      <c r="X2" s="2"/>
      <c r="Y2" s="2"/>
      <c r="Z2" s="2"/>
      <c r="AA2" s="2"/>
      <c r="AB2" s="2"/>
      <c r="AC2" s="2"/>
    </row>
    <row r="3" spans="1:29">
      <c r="A3" t="s">
        <v>686</v>
      </c>
      <c r="B3" s="9" t="s">
        <v>140</v>
      </c>
      <c r="C3" t="s">
        <v>253</v>
      </c>
      <c r="D3" t="s">
        <v>1418</v>
      </c>
      <c r="F3">
        <v>225.94</v>
      </c>
      <c r="G3" s="2">
        <v>0.2</v>
      </c>
      <c r="H3" s="2">
        <v>2.05</v>
      </c>
      <c r="I3" s="2">
        <v>0.3</v>
      </c>
      <c r="J3" s="2">
        <v>1</v>
      </c>
      <c r="K3" s="2"/>
      <c r="L3" s="2"/>
      <c r="M3" s="2"/>
      <c r="N3" s="2"/>
      <c r="O3" s="4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>
      <c r="A4" t="s">
        <v>688</v>
      </c>
      <c r="B4" s="9" t="s">
        <v>140</v>
      </c>
      <c r="C4" t="s">
        <v>253</v>
      </c>
      <c r="D4" t="s">
        <v>1419</v>
      </c>
      <c r="F4">
        <v>213.39</v>
      </c>
      <c r="G4" s="2">
        <v>0.24</v>
      </c>
      <c r="H4" s="2">
        <v>2.1</v>
      </c>
      <c r="I4" s="2">
        <v>0.2</v>
      </c>
      <c r="J4" s="2"/>
      <c r="K4" s="2"/>
      <c r="L4" s="2"/>
      <c r="M4" s="2"/>
      <c r="N4" s="2"/>
      <c r="O4" s="4"/>
      <c r="P4" s="2"/>
      <c r="Q4" s="2">
        <v>0.36</v>
      </c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 spans="1:29">
      <c r="A5" t="s">
        <v>690</v>
      </c>
      <c r="B5" s="9" t="s">
        <v>140</v>
      </c>
      <c r="C5" t="s">
        <v>261</v>
      </c>
      <c r="D5" t="s">
        <v>1418</v>
      </c>
      <c r="F5">
        <v>263.6</v>
      </c>
      <c r="G5" s="2">
        <v>0.16</v>
      </c>
      <c r="H5" s="2">
        <v>2.1</v>
      </c>
      <c r="I5" s="2">
        <v>0.33</v>
      </c>
      <c r="J5" s="2"/>
      <c r="K5" s="2"/>
      <c r="L5" s="2"/>
      <c r="M5" s="2"/>
      <c r="N5" s="2">
        <v>0.5</v>
      </c>
      <c r="O5" s="4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 spans="1:29">
      <c r="A6" t="s">
        <v>1337</v>
      </c>
      <c r="B6" s="9" t="s">
        <v>140</v>
      </c>
      <c r="C6" t="s">
        <v>261</v>
      </c>
      <c r="D6" t="s">
        <v>1419</v>
      </c>
      <c r="F6">
        <v>225.94</v>
      </c>
      <c r="G6" s="2">
        <v>0.24</v>
      </c>
      <c r="H6" s="2">
        <v>2.15</v>
      </c>
      <c r="I6" s="2">
        <v>0.15</v>
      </c>
      <c r="J6" s="2"/>
      <c r="K6" s="2">
        <v>1.25</v>
      </c>
      <c r="L6" s="2"/>
      <c r="M6" s="2"/>
      <c r="N6" s="2"/>
      <c r="O6" s="4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 spans="1:29">
      <c r="A7" t="s">
        <v>692</v>
      </c>
      <c r="B7" s="9" t="s">
        <v>140</v>
      </c>
      <c r="C7" t="s">
        <v>261</v>
      </c>
      <c r="D7" t="s">
        <v>1420</v>
      </c>
      <c r="F7">
        <v>251.04</v>
      </c>
      <c r="G7" s="2">
        <v>0.2</v>
      </c>
      <c r="H7" s="2">
        <v>2.35</v>
      </c>
      <c r="I7" s="2">
        <v>0.28</v>
      </c>
      <c r="J7" s="2"/>
      <c r="K7" s="2"/>
      <c r="L7" s="2"/>
      <c r="M7" s="2"/>
      <c r="N7" s="2"/>
      <c r="O7" s="4"/>
      <c r="P7" s="2"/>
      <c r="Q7" s="2"/>
      <c r="R7" s="2"/>
      <c r="S7" s="2">
        <v>0.72</v>
      </c>
      <c r="T7" s="2"/>
      <c r="U7" s="2"/>
      <c r="V7" s="2"/>
      <c r="W7" s="2"/>
      <c r="X7" s="2"/>
      <c r="Y7" s="2"/>
      <c r="Z7" s="2"/>
      <c r="AA7" s="2"/>
      <c r="AB7" s="2"/>
      <c r="AC7" s="2"/>
    </row>
    <row r="8" spans="1:29">
      <c r="A8" t="s">
        <v>698</v>
      </c>
      <c r="B8" s="9" t="s">
        <v>140</v>
      </c>
      <c r="C8" t="s">
        <v>241</v>
      </c>
      <c r="D8" t="s">
        <v>1418</v>
      </c>
      <c r="F8">
        <v>238.49</v>
      </c>
      <c r="G8" s="2">
        <v>0.22</v>
      </c>
      <c r="H8" s="2">
        <v>2.25</v>
      </c>
      <c r="I8" s="2">
        <v>0.15</v>
      </c>
      <c r="J8" s="2"/>
      <c r="K8" s="2">
        <v>1.25</v>
      </c>
      <c r="L8" s="2"/>
      <c r="M8" s="2"/>
      <c r="N8" s="2"/>
      <c r="O8" s="4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 spans="1:29">
      <c r="A9" t="s">
        <v>700</v>
      </c>
      <c r="B9" s="9" t="s">
        <v>140</v>
      </c>
      <c r="C9" t="s">
        <v>241</v>
      </c>
      <c r="D9" t="s">
        <v>1419</v>
      </c>
      <c r="F9">
        <v>213.39</v>
      </c>
      <c r="G9" s="2">
        <v>0.23</v>
      </c>
      <c r="H9" s="2">
        <v>2.15</v>
      </c>
      <c r="I9" s="2">
        <v>0.2</v>
      </c>
      <c r="J9" s="2"/>
      <c r="K9" s="2"/>
      <c r="L9" s="2"/>
      <c r="M9" s="2"/>
      <c r="N9" s="2"/>
      <c r="O9" s="4"/>
      <c r="P9" s="2"/>
      <c r="Q9" s="2"/>
      <c r="R9" s="2"/>
      <c r="S9" s="2">
        <v>0.72</v>
      </c>
      <c r="T9" s="2"/>
      <c r="U9" s="2"/>
      <c r="V9" s="2"/>
      <c r="W9" s="2"/>
      <c r="X9" s="2"/>
      <c r="Y9" s="2"/>
      <c r="Z9" s="2"/>
      <c r="AA9" s="2"/>
      <c r="AB9" s="2"/>
      <c r="AC9" s="2"/>
    </row>
    <row r="10" spans="1:29">
      <c r="A10" t="s">
        <v>1338</v>
      </c>
      <c r="B10" s="9" t="s">
        <v>140</v>
      </c>
      <c r="C10" t="s">
        <v>241</v>
      </c>
      <c r="D10" t="s">
        <v>1420</v>
      </c>
      <c r="F10">
        <v>251.04</v>
      </c>
      <c r="G10" s="2">
        <v>0.2</v>
      </c>
      <c r="H10" s="2">
        <v>2.5</v>
      </c>
      <c r="I10" s="2">
        <v>0.2</v>
      </c>
      <c r="J10" s="2"/>
      <c r="K10" s="2">
        <v>1.5</v>
      </c>
      <c r="L10" s="2"/>
      <c r="M10" s="2"/>
      <c r="N10" s="2"/>
      <c r="O10" s="4"/>
      <c r="P10" s="2"/>
      <c r="Q10" s="2"/>
      <c r="R10" s="2"/>
      <c r="S10" s="2"/>
      <c r="T10" s="2"/>
      <c r="U10" s="2">
        <v>1</v>
      </c>
      <c r="V10" s="2"/>
      <c r="W10" s="2"/>
      <c r="X10" s="2"/>
      <c r="Y10" s="2"/>
      <c r="Z10" s="2"/>
      <c r="AA10" s="2"/>
      <c r="AB10" s="2"/>
      <c r="AC10" s="2"/>
    </row>
    <row r="11" spans="1:29">
      <c r="A11" t="s">
        <v>681</v>
      </c>
      <c r="B11" s="9" t="s">
        <v>140</v>
      </c>
      <c r="C11" t="s">
        <v>244</v>
      </c>
      <c r="D11" t="s">
        <v>1420</v>
      </c>
      <c r="F11">
        <v>225.94</v>
      </c>
      <c r="G11" s="2">
        <v>0.24</v>
      </c>
      <c r="H11" s="2">
        <v>2.15</v>
      </c>
      <c r="I11" s="2">
        <v>0.3</v>
      </c>
      <c r="J11" s="2"/>
      <c r="K11" s="2"/>
      <c r="L11" s="2"/>
      <c r="M11" s="2"/>
      <c r="N11" s="2">
        <v>0.5</v>
      </c>
      <c r="O11" s="4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 spans="1:29">
      <c r="A12" t="s">
        <v>141</v>
      </c>
      <c r="B12" s="9" t="s">
        <v>140</v>
      </c>
      <c r="C12" t="s">
        <v>244</v>
      </c>
      <c r="D12" t="s">
        <v>1418</v>
      </c>
      <c r="F12">
        <v>276.15</v>
      </c>
      <c r="G12" s="2">
        <v>0.23</v>
      </c>
      <c r="H12" s="2">
        <v>2.5</v>
      </c>
      <c r="I12" s="2">
        <v>0.1</v>
      </c>
      <c r="J12" s="2"/>
      <c r="K12" s="2"/>
      <c r="L12" s="2"/>
      <c r="M12" s="2"/>
      <c r="N12" s="2"/>
      <c r="O12" s="4"/>
      <c r="P12" s="2"/>
      <c r="Q12" s="2"/>
      <c r="R12" s="2"/>
      <c r="S12" s="2"/>
      <c r="T12" s="2"/>
      <c r="U12" s="2"/>
      <c r="V12" s="2"/>
      <c r="W12" s="2"/>
      <c r="X12" s="2"/>
      <c r="Y12" s="2">
        <v>0.1</v>
      </c>
      <c r="Z12" s="2"/>
      <c r="AA12" s="2"/>
      <c r="AB12" s="2"/>
      <c r="AC12" s="2"/>
    </row>
    <row r="13" spans="1:29">
      <c r="A13" t="s">
        <v>679</v>
      </c>
      <c r="B13" s="9" t="s">
        <v>140</v>
      </c>
      <c r="C13" t="s">
        <v>244</v>
      </c>
      <c r="D13" t="s">
        <v>1420</v>
      </c>
      <c r="F13">
        <v>263.6</v>
      </c>
      <c r="G13" s="2">
        <v>0.22</v>
      </c>
      <c r="H13" s="2">
        <v>2.2</v>
      </c>
      <c r="I13" s="2">
        <v>0.22</v>
      </c>
      <c r="J13" s="2"/>
      <c r="K13" s="2"/>
      <c r="L13" s="2"/>
      <c r="M13" s="2"/>
      <c r="N13" s="2"/>
      <c r="O13" s="4"/>
      <c r="P13" s="2"/>
      <c r="Q13" s="2"/>
      <c r="R13" s="2"/>
      <c r="S13" s="2">
        <v>0.6</v>
      </c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 spans="1:29">
      <c r="A14" t="s">
        <v>684</v>
      </c>
      <c r="B14" s="9" t="s">
        <v>140</v>
      </c>
      <c r="C14" t="s">
        <v>244</v>
      </c>
      <c r="D14" t="s">
        <v>1418</v>
      </c>
      <c r="F14">
        <v>238.49</v>
      </c>
      <c r="G14" s="2">
        <v>0.25</v>
      </c>
      <c r="H14" s="2">
        <v>2</v>
      </c>
      <c r="I14" s="2">
        <v>0.15</v>
      </c>
      <c r="J14" s="2"/>
      <c r="K14" s="2"/>
      <c r="L14" s="2"/>
      <c r="M14" s="2"/>
      <c r="N14" s="2"/>
      <c r="O14" s="4"/>
      <c r="P14" s="2">
        <v>0.48</v>
      </c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 spans="1:29">
      <c r="A15" t="s">
        <v>673</v>
      </c>
      <c r="B15" s="9" t="s">
        <v>140</v>
      </c>
      <c r="C15" t="s">
        <v>247</v>
      </c>
      <c r="D15" t="s">
        <v>1419</v>
      </c>
      <c r="F15">
        <v>238.49</v>
      </c>
      <c r="G15" s="2">
        <v>0.25</v>
      </c>
      <c r="H15" s="2">
        <v>2</v>
      </c>
      <c r="I15" s="2">
        <v>0.15</v>
      </c>
      <c r="J15" s="2"/>
      <c r="K15" s="2"/>
      <c r="L15" s="2"/>
      <c r="M15" s="2"/>
      <c r="N15" s="2"/>
      <c r="O15" s="4"/>
      <c r="P15" s="2"/>
      <c r="Q15" s="2"/>
      <c r="R15" s="2"/>
      <c r="S15" s="2"/>
      <c r="T15" s="2"/>
      <c r="U15" s="2">
        <v>1.2</v>
      </c>
      <c r="V15" s="2"/>
      <c r="W15" s="2"/>
      <c r="X15" s="2"/>
      <c r="Y15" s="2"/>
      <c r="Z15" s="2"/>
      <c r="AA15" s="2"/>
      <c r="AB15" s="2"/>
      <c r="AC15" s="2"/>
    </row>
    <row r="16" spans="1:29">
      <c r="A16" t="s">
        <v>677</v>
      </c>
      <c r="B16" s="9" t="s">
        <v>140</v>
      </c>
      <c r="C16" t="s">
        <v>247</v>
      </c>
      <c r="D16" t="s">
        <v>1420</v>
      </c>
      <c r="F16">
        <v>225.94</v>
      </c>
      <c r="G16" s="2">
        <v>0.2</v>
      </c>
      <c r="H16" s="2">
        <v>2</v>
      </c>
      <c r="I16" s="2">
        <v>0.33</v>
      </c>
      <c r="J16" s="2"/>
      <c r="K16" s="2"/>
      <c r="L16" s="2"/>
      <c r="M16" s="2"/>
      <c r="N16" s="2"/>
      <c r="O16" s="4"/>
      <c r="P16" s="2"/>
      <c r="Q16" s="2"/>
      <c r="R16" s="2"/>
      <c r="S16" s="2"/>
      <c r="T16" s="2"/>
      <c r="U16" s="2"/>
      <c r="V16" s="2"/>
      <c r="W16" s="2"/>
      <c r="X16" s="2">
        <v>1</v>
      </c>
      <c r="Y16" s="2"/>
      <c r="Z16" s="2"/>
      <c r="AA16" s="2"/>
      <c r="AB16" s="2"/>
      <c r="AC16" s="2"/>
    </row>
    <row r="17" spans="1:29">
      <c r="A17" t="s">
        <v>1339</v>
      </c>
      <c r="B17" s="9" t="s">
        <v>140</v>
      </c>
      <c r="C17" t="s">
        <v>247</v>
      </c>
      <c r="D17" t="s">
        <v>1420</v>
      </c>
      <c r="F17">
        <v>251.04</v>
      </c>
      <c r="G17" s="2">
        <v>0.22</v>
      </c>
      <c r="H17" s="2">
        <v>2.15</v>
      </c>
      <c r="I17" s="2">
        <v>0.3</v>
      </c>
      <c r="J17" s="2"/>
      <c r="K17" s="2"/>
      <c r="L17" s="2">
        <v>1.5</v>
      </c>
      <c r="M17" s="2"/>
      <c r="N17" s="2"/>
      <c r="O17" s="4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 spans="1:29">
      <c r="A18" t="s">
        <v>1340</v>
      </c>
      <c r="B18" s="9" t="s">
        <v>140</v>
      </c>
      <c r="C18" t="s">
        <v>247</v>
      </c>
      <c r="D18" t="s">
        <v>1420</v>
      </c>
      <c r="F18">
        <v>251.04</v>
      </c>
      <c r="G18" s="2">
        <v>0.23</v>
      </c>
      <c r="H18" s="2">
        <v>2.1</v>
      </c>
      <c r="I18" s="2">
        <v>0.28</v>
      </c>
      <c r="J18" s="2"/>
      <c r="K18" s="2"/>
      <c r="L18" s="2"/>
      <c r="M18" s="2"/>
      <c r="N18" s="2">
        <v>0.5</v>
      </c>
      <c r="O18" s="4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 spans="1:29">
      <c r="A19" t="s">
        <v>675</v>
      </c>
      <c r="B19" s="9" t="s">
        <v>140</v>
      </c>
      <c r="C19" t="s">
        <v>247</v>
      </c>
      <c r="D19" t="s">
        <v>1420</v>
      </c>
      <c r="F19">
        <v>213.39</v>
      </c>
      <c r="G19" s="2">
        <v>0.3</v>
      </c>
      <c r="H19" s="2">
        <v>2.1</v>
      </c>
      <c r="I19" s="2">
        <v>0.12</v>
      </c>
      <c r="J19" s="2"/>
      <c r="K19" s="2"/>
      <c r="L19" s="2"/>
      <c r="M19" s="2"/>
      <c r="N19" s="2"/>
      <c r="O19" s="4">
        <v>2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 spans="1:29">
      <c r="A20" t="s">
        <v>694</v>
      </c>
      <c r="B20" s="9" t="s">
        <v>140</v>
      </c>
      <c r="C20" t="s">
        <v>263</v>
      </c>
      <c r="D20" t="s">
        <v>1420</v>
      </c>
      <c r="F20">
        <v>263.6</v>
      </c>
      <c r="G20" s="2">
        <v>0.2</v>
      </c>
      <c r="H20" s="2">
        <v>2.25</v>
      </c>
      <c r="I20" s="2">
        <v>0.3</v>
      </c>
      <c r="J20" s="2"/>
      <c r="K20" s="2"/>
      <c r="L20" s="2"/>
      <c r="M20" s="2"/>
      <c r="N20" s="2"/>
      <c r="O20" s="4"/>
      <c r="P20" s="2"/>
      <c r="Q20" s="2"/>
      <c r="R20" s="2"/>
      <c r="S20" s="2"/>
      <c r="T20" s="2"/>
      <c r="U20" s="2"/>
      <c r="V20" s="2">
        <v>1</v>
      </c>
      <c r="W20" s="2"/>
      <c r="X20" s="2"/>
      <c r="Y20" s="2"/>
      <c r="Z20" s="2"/>
      <c r="AA20" s="2"/>
      <c r="AB20" s="2"/>
      <c r="AC20" s="2"/>
    </row>
    <row r="21" spans="1:29">
      <c r="A21" t="s">
        <v>696</v>
      </c>
      <c r="B21" s="9" t="s">
        <v>140</v>
      </c>
      <c r="C21" t="s">
        <v>263</v>
      </c>
      <c r="D21" t="s">
        <v>1419</v>
      </c>
      <c r="F21">
        <v>238.49</v>
      </c>
      <c r="G21" s="2">
        <v>0.18</v>
      </c>
      <c r="H21" s="2">
        <v>2.15</v>
      </c>
      <c r="I21" s="2">
        <v>0.3</v>
      </c>
      <c r="J21" s="2"/>
      <c r="K21" s="2"/>
      <c r="L21" s="2"/>
      <c r="M21" s="2"/>
      <c r="N21" s="2"/>
      <c r="O21" s="4"/>
      <c r="P21" s="2"/>
      <c r="Q21" s="2">
        <v>0.36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 spans="1:29">
      <c r="A22" t="s">
        <v>1341</v>
      </c>
      <c r="B22" s="9" t="s">
        <v>140</v>
      </c>
      <c r="C22" t="s">
        <v>263</v>
      </c>
      <c r="D22" t="s">
        <v>1420</v>
      </c>
      <c r="F22">
        <v>213.39</v>
      </c>
      <c r="G22" s="2">
        <v>0.26</v>
      </c>
      <c r="H22" s="2">
        <v>2.35</v>
      </c>
      <c r="I22" s="2">
        <v>0.48</v>
      </c>
      <c r="J22" s="2"/>
      <c r="K22" s="2"/>
      <c r="L22" s="2">
        <v>1.5</v>
      </c>
      <c r="M22" s="2"/>
      <c r="N22" s="2"/>
      <c r="O22" s="4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 spans="1:29">
      <c r="A23" t="s">
        <v>776</v>
      </c>
      <c r="B23" s="9" t="s">
        <v>170</v>
      </c>
      <c r="C23" t="s">
        <v>249</v>
      </c>
      <c r="D23" t="s">
        <v>1419</v>
      </c>
      <c r="E23" t="s">
        <v>1446</v>
      </c>
      <c r="F23">
        <v>238.49</v>
      </c>
      <c r="G23" s="2">
        <v>0.22</v>
      </c>
      <c r="H23" s="2">
        <v>2.05</v>
      </c>
      <c r="I23" s="2">
        <v>0.33</v>
      </c>
      <c r="J23" s="2"/>
      <c r="K23" s="2"/>
      <c r="L23" s="2"/>
      <c r="M23" s="2"/>
      <c r="N23" s="2"/>
      <c r="O23" s="4"/>
      <c r="P23" s="2"/>
      <c r="Q23" s="2"/>
      <c r="R23" s="2"/>
      <c r="S23" s="2">
        <v>0.72</v>
      </c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 spans="1:17">
      <c r="A24" t="s">
        <v>772</v>
      </c>
      <c r="B24" s="9" t="s">
        <v>170</v>
      </c>
      <c r="C24" t="s">
        <v>249</v>
      </c>
      <c r="D24" t="s">
        <v>1419</v>
      </c>
      <c r="E24" t="s">
        <v>1446</v>
      </c>
      <c r="F24">
        <v>225.94</v>
      </c>
      <c r="G24" s="2">
        <v>0.26</v>
      </c>
      <c r="H24" s="2">
        <v>2.2</v>
      </c>
      <c r="I24" s="2">
        <v>0.2</v>
      </c>
      <c r="Q24" s="2">
        <v>0.3</v>
      </c>
    </row>
    <row r="25" spans="1:29">
      <c r="A25" t="s">
        <v>774</v>
      </c>
      <c r="B25" s="9" t="s">
        <v>170</v>
      </c>
      <c r="C25" t="s">
        <v>249</v>
      </c>
      <c r="D25" t="s">
        <v>1418</v>
      </c>
      <c r="E25" t="s">
        <v>1446</v>
      </c>
      <c r="F25">
        <v>188.28</v>
      </c>
      <c r="G25" s="2">
        <v>0.22</v>
      </c>
      <c r="H25" s="2">
        <v>2.2</v>
      </c>
      <c r="I25" s="2">
        <v>0.3</v>
      </c>
      <c r="S25" s="2">
        <v>0.6</v>
      </c>
      <c r="AC25" s="2">
        <v>0.7</v>
      </c>
    </row>
    <row r="26" spans="1:14">
      <c r="A26" t="s">
        <v>770</v>
      </c>
      <c r="B26" s="9" t="s">
        <v>170</v>
      </c>
      <c r="C26" t="s">
        <v>249</v>
      </c>
      <c r="D26" t="s">
        <v>1420</v>
      </c>
      <c r="E26" t="s">
        <v>1446</v>
      </c>
      <c r="F26">
        <v>213.39</v>
      </c>
      <c r="G26" s="2">
        <v>0.19</v>
      </c>
      <c r="H26" s="2">
        <v>2</v>
      </c>
      <c r="I26" s="2">
        <v>0.2</v>
      </c>
      <c r="N26" s="2">
        <v>0.5</v>
      </c>
    </row>
    <row r="27" spans="1:9">
      <c r="A27" t="s">
        <v>750</v>
      </c>
      <c r="B27" s="9" t="s">
        <v>170</v>
      </c>
      <c r="C27" t="s">
        <v>245</v>
      </c>
      <c r="D27" t="s">
        <v>1419</v>
      </c>
      <c r="E27" t="s">
        <v>1446</v>
      </c>
      <c r="F27">
        <v>175.73</v>
      </c>
      <c r="G27" s="2">
        <v>0.2</v>
      </c>
      <c r="H27" s="2">
        <v>2.4</v>
      </c>
      <c r="I27" s="2">
        <v>0.18</v>
      </c>
    </row>
    <row r="28" spans="1:19">
      <c r="A28" t="s">
        <v>752</v>
      </c>
      <c r="B28" s="9" t="s">
        <v>170</v>
      </c>
      <c r="C28" t="s">
        <v>245</v>
      </c>
      <c r="D28" t="s">
        <v>1419</v>
      </c>
      <c r="E28" t="s">
        <v>1446</v>
      </c>
      <c r="F28">
        <v>225.94</v>
      </c>
      <c r="G28" s="2">
        <v>0.2</v>
      </c>
      <c r="H28" s="2">
        <v>1.8</v>
      </c>
      <c r="I28" s="2">
        <v>0.2</v>
      </c>
      <c r="S28" s="2">
        <v>0.72</v>
      </c>
    </row>
    <row r="29" spans="1:11">
      <c r="A29" t="s">
        <v>754</v>
      </c>
      <c r="B29" s="9" t="s">
        <v>170</v>
      </c>
      <c r="C29" t="s">
        <v>245</v>
      </c>
      <c r="D29" t="s">
        <v>1418</v>
      </c>
      <c r="E29" t="s">
        <v>1446</v>
      </c>
      <c r="F29">
        <v>200.84</v>
      </c>
      <c r="G29" s="2">
        <v>0.22</v>
      </c>
      <c r="H29" s="2">
        <v>2.15</v>
      </c>
      <c r="I29" s="2">
        <v>0.2</v>
      </c>
      <c r="K29" s="2">
        <v>1.25</v>
      </c>
    </row>
    <row r="30" spans="1:14">
      <c r="A30" t="s">
        <v>756</v>
      </c>
      <c r="B30" s="9" t="s">
        <v>170</v>
      </c>
      <c r="C30" t="s">
        <v>245</v>
      </c>
      <c r="D30" t="s">
        <v>1420</v>
      </c>
      <c r="E30" t="s">
        <v>1446</v>
      </c>
      <c r="F30">
        <v>238.49</v>
      </c>
      <c r="G30" s="2">
        <v>0.25</v>
      </c>
      <c r="H30" s="2">
        <v>2.35</v>
      </c>
      <c r="I30" s="2">
        <v>0.3</v>
      </c>
      <c r="N30" s="2">
        <v>0.5</v>
      </c>
    </row>
    <row r="31" spans="1:28">
      <c r="A31" t="s">
        <v>748</v>
      </c>
      <c r="B31" s="9" t="s">
        <v>170</v>
      </c>
      <c r="C31" t="s">
        <v>254</v>
      </c>
      <c r="D31" t="s">
        <v>1420</v>
      </c>
      <c r="E31" t="s">
        <v>1446</v>
      </c>
      <c r="F31">
        <v>239.49</v>
      </c>
      <c r="G31" s="2">
        <v>0.2</v>
      </c>
      <c r="H31" s="2">
        <v>2.25</v>
      </c>
      <c r="I31" s="2">
        <v>0.25</v>
      </c>
      <c r="Q31" s="2">
        <v>0.3</v>
      </c>
      <c r="AB31" s="2">
        <v>0.9</v>
      </c>
    </row>
    <row r="32" spans="1:16">
      <c r="A32" t="s">
        <v>746</v>
      </c>
      <c r="B32" s="9" t="s">
        <v>170</v>
      </c>
      <c r="C32" t="s">
        <v>254</v>
      </c>
      <c r="D32" t="s">
        <v>1420</v>
      </c>
      <c r="E32" t="s">
        <v>1446</v>
      </c>
      <c r="F32">
        <v>263.6</v>
      </c>
      <c r="G32" s="2">
        <v>0.2</v>
      </c>
      <c r="H32" s="2">
        <v>2.2</v>
      </c>
      <c r="I32" s="2">
        <v>0.28</v>
      </c>
      <c r="P32" s="2">
        <v>0.48</v>
      </c>
    </row>
    <row r="33" spans="1:10">
      <c r="A33" t="s">
        <v>1342</v>
      </c>
      <c r="B33" s="9" t="s">
        <v>170</v>
      </c>
      <c r="C33" t="s">
        <v>254</v>
      </c>
      <c r="D33" t="s">
        <v>1418</v>
      </c>
      <c r="E33" t="s">
        <v>1446</v>
      </c>
      <c r="F33">
        <v>225.94</v>
      </c>
      <c r="G33" s="2">
        <v>0.25</v>
      </c>
      <c r="H33" s="2">
        <v>2</v>
      </c>
      <c r="I33" s="2">
        <v>0.15</v>
      </c>
      <c r="J33" s="2">
        <v>1</v>
      </c>
    </row>
    <row r="34" spans="1:17">
      <c r="A34" t="s">
        <v>762</v>
      </c>
      <c r="B34" s="9" t="s">
        <v>170</v>
      </c>
      <c r="C34" t="s">
        <v>242</v>
      </c>
      <c r="D34" t="s">
        <v>1420</v>
      </c>
      <c r="E34" t="s">
        <v>1446</v>
      </c>
      <c r="F34">
        <v>213.39</v>
      </c>
      <c r="G34" s="2">
        <v>0.23</v>
      </c>
      <c r="H34" s="2">
        <v>2.25</v>
      </c>
      <c r="I34" s="2">
        <v>0.3</v>
      </c>
      <c r="Q34" s="2">
        <v>0.36</v>
      </c>
    </row>
    <row r="35" spans="1:12">
      <c r="A35" t="s">
        <v>766</v>
      </c>
      <c r="B35" s="9" t="s">
        <v>170</v>
      </c>
      <c r="C35" t="s">
        <v>242</v>
      </c>
      <c r="D35" t="s">
        <v>1418</v>
      </c>
      <c r="E35" t="s">
        <v>1447</v>
      </c>
      <c r="F35">
        <v>238.49</v>
      </c>
      <c r="G35" s="2">
        <v>0.15</v>
      </c>
      <c r="H35" s="2">
        <v>2</v>
      </c>
      <c r="I35" s="2">
        <v>0.33</v>
      </c>
      <c r="L35" s="2">
        <v>1.5</v>
      </c>
    </row>
    <row r="36" spans="1:11">
      <c r="A36" t="s">
        <v>1343</v>
      </c>
      <c r="B36" s="9" t="s">
        <v>170</v>
      </c>
      <c r="C36" t="s">
        <v>242</v>
      </c>
      <c r="D36" t="s">
        <v>1418</v>
      </c>
      <c r="E36" t="s">
        <v>1446</v>
      </c>
      <c r="F36">
        <v>200.84</v>
      </c>
      <c r="G36" s="2">
        <v>0.22</v>
      </c>
      <c r="H36" s="2">
        <v>2.2</v>
      </c>
      <c r="I36" s="2">
        <v>0.25</v>
      </c>
      <c r="K36" s="2">
        <v>1.25</v>
      </c>
    </row>
    <row r="37" spans="1:13">
      <c r="A37" t="s">
        <v>1344</v>
      </c>
      <c r="B37" s="9" t="s">
        <v>170</v>
      </c>
      <c r="C37" t="s">
        <v>242</v>
      </c>
      <c r="D37" t="s">
        <v>1420</v>
      </c>
      <c r="E37" t="s">
        <v>1447</v>
      </c>
      <c r="F37">
        <v>225.94</v>
      </c>
      <c r="G37" s="2">
        <v>0.26</v>
      </c>
      <c r="H37" s="2">
        <v>2.45</v>
      </c>
      <c r="I37" s="2">
        <v>0.24</v>
      </c>
      <c r="M37" s="2">
        <v>0.75</v>
      </c>
    </row>
    <row r="38" spans="1:12">
      <c r="A38" t="s">
        <v>764</v>
      </c>
      <c r="B38" s="9" t="s">
        <v>170</v>
      </c>
      <c r="C38" t="s">
        <v>242</v>
      </c>
      <c r="D38" t="s">
        <v>1420</v>
      </c>
      <c r="E38" t="s">
        <v>1447</v>
      </c>
      <c r="F38">
        <v>188.28</v>
      </c>
      <c r="G38" s="2">
        <v>0.25</v>
      </c>
      <c r="H38" s="2">
        <v>2.2</v>
      </c>
      <c r="I38" s="2">
        <v>0.15</v>
      </c>
      <c r="L38" s="2">
        <v>1.5</v>
      </c>
    </row>
    <row r="39" spans="1:21">
      <c r="A39" t="s">
        <v>768</v>
      </c>
      <c r="B39" s="9" t="s">
        <v>170</v>
      </c>
      <c r="C39" t="s">
        <v>242</v>
      </c>
      <c r="D39" t="s">
        <v>1418</v>
      </c>
      <c r="E39" t="s">
        <v>1447</v>
      </c>
      <c r="F39">
        <v>188.28</v>
      </c>
      <c r="G39" s="2">
        <v>0.24</v>
      </c>
      <c r="H39" s="2">
        <v>2.4</v>
      </c>
      <c r="I39" s="2">
        <v>0.15</v>
      </c>
      <c r="S39" s="2">
        <v>0.6</v>
      </c>
      <c r="U39" s="2">
        <v>1.8</v>
      </c>
    </row>
    <row r="40" spans="1:12">
      <c r="A40" t="s">
        <v>743</v>
      </c>
      <c r="B40" s="9" t="s">
        <v>170</v>
      </c>
      <c r="C40" t="s">
        <v>265</v>
      </c>
      <c r="D40" t="s">
        <v>1418</v>
      </c>
      <c r="E40" t="s">
        <v>1446</v>
      </c>
      <c r="F40">
        <v>200.84</v>
      </c>
      <c r="G40" s="2">
        <v>0.2</v>
      </c>
      <c r="H40" s="2">
        <v>2.1</v>
      </c>
      <c r="I40" s="2">
        <v>0.33</v>
      </c>
      <c r="L40" s="2">
        <v>1.5</v>
      </c>
    </row>
    <row r="41" spans="1:21">
      <c r="A41" t="s">
        <v>171</v>
      </c>
      <c r="B41" s="9" t="s">
        <v>170</v>
      </c>
      <c r="C41" t="s">
        <v>265</v>
      </c>
      <c r="D41" t="s">
        <v>1419</v>
      </c>
      <c r="E41" t="s">
        <v>1446</v>
      </c>
      <c r="F41">
        <v>188.28</v>
      </c>
      <c r="G41" s="2">
        <v>0.25</v>
      </c>
      <c r="H41" s="2">
        <v>2.3</v>
      </c>
      <c r="I41" s="2">
        <v>0.15</v>
      </c>
      <c r="U41" s="2">
        <v>1.2</v>
      </c>
    </row>
    <row r="42" spans="1:28">
      <c r="A42" t="s">
        <v>1345</v>
      </c>
      <c r="B42" s="9" t="s">
        <v>170</v>
      </c>
      <c r="C42" t="s">
        <v>265</v>
      </c>
      <c r="D42" t="s">
        <v>1420</v>
      </c>
      <c r="E42" t="s">
        <v>1446</v>
      </c>
      <c r="F42">
        <v>225.94</v>
      </c>
      <c r="G42" s="2">
        <v>0.25</v>
      </c>
      <c r="H42" s="2">
        <v>2.05</v>
      </c>
      <c r="I42" s="2">
        <v>0.3</v>
      </c>
      <c r="M42" s="2">
        <v>0.75</v>
      </c>
      <c r="AB42" s="2">
        <v>0.7</v>
      </c>
    </row>
    <row r="43" spans="1:10">
      <c r="A43" t="s">
        <v>760</v>
      </c>
      <c r="B43" s="9" t="s">
        <v>170</v>
      </c>
      <c r="C43" t="s">
        <v>251</v>
      </c>
      <c r="D43" t="s">
        <v>1419</v>
      </c>
      <c r="E43" t="s">
        <v>1446</v>
      </c>
      <c r="F43">
        <v>200.84</v>
      </c>
      <c r="G43" s="2">
        <v>0.32</v>
      </c>
      <c r="H43" s="2">
        <v>1.8</v>
      </c>
      <c r="I43" s="2">
        <v>0.15</v>
      </c>
      <c r="J43" s="2">
        <v>1</v>
      </c>
    </row>
    <row r="44" spans="1:17">
      <c r="A44" t="s">
        <v>758</v>
      </c>
      <c r="B44" s="9" t="s">
        <v>170</v>
      </c>
      <c r="C44" t="s">
        <v>251</v>
      </c>
      <c r="D44" t="s">
        <v>1420</v>
      </c>
      <c r="E44" t="s">
        <v>1447</v>
      </c>
      <c r="F44">
        <v>225.94</v>
      </c>
      <c r="G44" s="2">
        <v>0.2</v>
      </c>
      <c r="H44" s="2">
        <v>1.8</v>
      </c>
      <c r="I44" s="2">
        <v>0.2</v>
      </c>
      <c r="Q44" s="2">
        <v>0.36</v>
      </c>
    </row>
    <row r="45" spans="1:21">
      <c r="A45" t="s">
        <v>1346</v>
      </c>
      <c r="B45" s="9" t="s">
        <v>170</v>
      </c>
      <c r="C45" t="s">
        <v>251</v>
      </c>
      <c r="D45" t="s">
        <v>1419</v>
      </c>
      <c r="E45" t="s">
        <v>1446</v>
      </c>
      <c r="F45">
        <v>188.28</v>
      </c>
      <c r="G45" s="2">
        <v>0.15</v>
      </c>
      <c r="H45" s="2">
        <v>1.65</v>
      </c>
      <c r="I45" s="2">
        <v>0.1</v>
      </c>
      <c r="U45" s="2">
        <v>1</v>
      </c>
    </row>
    <row r="46" spans="1:11">
      <c r="A46" t="s">
        <v>1347</v>
      </c>
      <c r="B46" s="9" t="s">
        <v>170</v>
      </c>
      <c r="C46" t="s">
        <v>251</v>
      </c>
      <c r="D46" t="s">
        <v>1418</v>
      </c>
      <c r="E46" t="s">
        <v>1446</v>
      </c>
      <c r="F46">
        <v>213.39</v>
      </c>
      <c r="G46" s="2">
        <v>0.2</v>
      </c>
      <c r="H46" s="2">
        <v>2</v>
      </c>
      <c r="I46" s="2">
        <v>0.15</v>
      </c>
      <c r="K46" s="2">
        <v>1.25</v>
      </c>
    </row>
    <row r="47" spans="1:29">
      <c r="A47" t="s">
        <v>258</v>
      </c>
      <c r="B47" t="s">
        <v>1448</v>
      </c>
      <c r="C47" t="s">
        <v>242</v>
      </c>
      <c r="D47" t="s">
        <v>1420</v>
      </c>
      <c r="E47" t="s">
        <v>1446</v>
      </c>
      <c r="F47">
        <v>75.31</v>
      </c>
      <c r="G47" s="2">
        <v>0.33</v>
      </c>
      <c r="H47" s="2">
        <v>2</v>
      </c>
      <c r="I47" s="2">
        <v>0.2</v>
      </c>
      <c r="J47" s="2"/>
      <c r="K47" s="2"/>
      <c r="L47" s="2"/>
      <c r="M47" s="2"/>
      <c r="N47" s="2"/>
      <c r="O47" s="4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 spans="1:29">
      <c r="A48" t="s">
        <v>255</v>
      </c>
      <c r="B48" t="s">
        <v>1448</v>
      </c>
      <c r="C48" t="s">
        <v>254</v>
      </c>
      <c r="D48" t="s">
        <v>1420</v>
      </c>
      <c r="E48" t="s">
        <v>1447</v>
      </c>
      <c r="F48">
        <v>421.75</v>
      </c>
      <c r="G48" s="2">
        <v>0.12</v>
      </c>
      <c r="H48" s="2">
        <v>1.5</v>
      </c>
      <c r="I48" s="2">
        <v>0.5</v>
      </c>
      <c r="J48" s="2"/>
      <c r="K48" s="2"/>
      <c r="L48" s="2"/>
      <c r="M48" s="2"/>
      <c r="N48" s="2"/>
      <c r="O48" s="4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 spans="1:29">
      <c r="A49" t="s">
        <v>270</v>
      </c>
      <c r="B49" t="s">
        <v>1449</v>
      </c>
      <c r="C49" t="s">
        <v>253</v>
      </c>
      <c r="D49" t="s">
        <v>1419</v>
      </c>
      <c r="F49">
        <v>225.94</v>
      </c>
      <c r="G49" s="2">
        <v>0.2</v>
      </c>
      <c r="H49" s="2">
        <v>2</v>
      </c>
      <c r="I49" s="2">
        <v>0.25</v>
      </c>
      <c r="J49" s="2"/>
      <c r="K49" s="2"/>
      <c r="L49" s="2"/>
      <c r="M49" s="2"/>
      <c r="N49" s="2"/>
      <c r="O49" s="4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 spans="1:29">
      <c r="A50" t="s">
        <v>272</v>
      </c>
      <c r="B50" t="s">
        <v>1449</v>
      </c>
      <c r="C50" t="s">
        <v>247</v>
      </c>
      <c r="D50" t="s">
        <v>1418</v>
      </c>
      <c r="F50" s="10">
        <v>361.5</v>
      </c>
      <c r="G50" s="2">
        <v>0.12</v>
      </c>
      <c r="H50" s="2">
        <v>1.5</v>
      </c>
      <c r="I50" s="2">
        <v>0.5</v>
      </c>
      <c r="J50" s="2"/>
      <c r="K50" s="2"/>
      <c r="L50" s="2"/>
      <c r="M50" s="2"/>
      <c r="N50" s="2"/>
      <c r="O50" s="4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25"/>
  <sheetViews>
    <sheetView workbookViewId="0">
      <selection activeCell="L33" sqref="L33"/>
    </sheetView>
  </sheetViews>
  <sheetFormatPr defaultColWidth="9" defaultRowHeight="14.25"/>
  <cols>
    <col min="3" max="8" width="10.25" customWidth="1"/>
  </cols>
  <sheetData>
    <row r="1" spans="1:28">
      <c r="A1" s="6" t="s">
        <v>46</v>
      </c>
      <c r="B1" s="6" t="s">
        <v>146</v>
      </c>
      <c r="C1" s="6" t="s">
        <v>152</v>
      </c>
      <c r="D1" s="6" t="s">
        <v>174</v>
      </c>
      <c r="E1" s="6" t="s">
        <v>235</v>
      </c>
      <c r="F1" s="6" t="s">
        <v>1442</v>
      </c>
      <c r="G1" s="6" t="s">
        <v>1443</v>
      </c>
      <c r="H1" s="6" t="s">
        <v>1444</v>
      </c>
      <c r="I1" s="6" t="s">
        <v>147</v>
      </c>
      <c r="J1" s="6" t="s">
        <v>148</v>
      </c>
      <c r="K1" s="6" t="s">
        <v>149</v>
      </c>
      <c r="L1" s="6" t="s">
        <v>172</v>
      </c>
      <c r="M1" s="6" t="s">
        <v>150</v>
      </c>
      <c r="N1" s="6" t="s">
        <v>1445</v>
      </c>
      <c r="O1" s="6" t="s">
        <v>61</v>
      </c>
      <c r="P1" s="6" t="s">
        <v>62</v>
      </c>
      <c r="Q1" s="6" t="s">
        <v>63</v>
      </c>
      <c r="R1" s="6" t="s">
        <v>64</v>
      </c>
      <c r="S1" s="6" t="s">
        <v>85</v>
      </c>
      <c r="T1" s="6" t="s">
        <v>58</v>
      </c>
      <c r="U1" s="6" t="s">
        <v>59</v>
      </c>
      <c r="V1" s="6" t="s">
        <v>84</v>
      </c>
      <c r="W1" s="6" t="s">
        <v>60</v>
      </c>
      <c r="X1" s="6" t="s">
        <v>66</v>
      </c>
      <c r="Y1" s="6" t="s">
        <v>65</v>
      </c>
      <c r="Z1" s="7" t="s">
        <v>67</v>
      </c>
      <c r="AA1" s="7" t="s">
        <v>94</v>
      </c>
      <c r="AB1" s="7" t="s">
        <v>68</v>
      </c>
    </row>
    <row r="2" spans="1:28">
      <c r="A2" t="s">
        <v>776</v>
      </c>
      <c r="B2" t="s">
        <v>249</v>
      </c>
      <c r="C2" t="s">
        <v>1419</v>
      </c>
      <c r="D2" t="s">
        <v>1446</v>
      </c>
      <c r="E2">
        <v>238.49</v>
      </c>
      <c r="F2" s="2">
        <v>0.22</v>
      </c>
      <c r="G2" s="2">
        <v>2.05</v>
      </c>
      <c r="H2" s="2">
        <v>0.33</v>
      </c>
      <c r="I2" s="2"/>
      <c r="J2" s="2"/>
      <c r="K2" s="2"/>
      <c r="L2" s="2"/>
      <c r="M2" s="2"/>
      <c r="N2" s="4"/>
      <c r="O2" s="2"/>
      <c r="P2" s="2"/>
      <c r="Q2" s="2"/>
      <c r="R2" s="2">
        <v>0.72</v>
      </c>
      <c r="S2" s="2"/>
      <c r="T2" s="2"/>
      <c r="U2" s="2"/>
      <c r="V2" s="2"/>
      <c r="W2" s="2"/>
      <c r="X2" s="2"/>
      <c r="Y2" s="2"/>
      <c r="Z2" s="2"/>
      <c r="AA2" s="2"/>
      <c r="AB2" s="2"/>
    </row>
    <row r="3" spans="1:28">
      <c r="A3" t="s">
        <v>772</v>
      </c>
      <c r="B3" t="s">
        <v>249</v>
      </c>
      <c r="C3" t="s">
        <v>1419</v>
      </c>
      <c r="D3" t="s">
        <v>1446</v>
      </c>
      <c r="E3">
        <v>225.94</v>
      </c>
      <c r="F3" s="2">
        <v>0.26</v>
      </c>
      <c r="G3" s="2">
        <v>2.2</v>
      </c>
      <c r="H3" s="2">
        <v>0.2</v>
      </c>
      <c r="I3" s="2"/>
      <c r="J3" s="2"/>
      <c r="K3" s="2"/>
      <c r="L3" s="2"/>
      <c r="M3" s="2"/>
      <c r="N3" s="4"/>
      <c r="O3" s="2"/>
      <c r="P3" s="2">
        <v>0.3</v>
      </c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>
      <c r="A4" t="s">
        <v>774</v>
      </c>
      <c r="B4" t="s">
        <v>249</v>
      </c>
      <c r="C4" t="s">
        <v>1418</v>
      </c>
      <c r="D4" t="s">
        <v>1446</v>
      </c>
      <c r="E4">
        <v>188.28</v>
      </c>
      <c r="F4" s="2">
        <v>0.22</v>
      </c>
      <c r="G4" s="2">
        <v>2.2</v>
      </c>
      <c r="H4" s="2">
        <v>0.3</v>
      </c>
      <c r="I4" s="2"/>
      <c r="J4" s="2"/>
      <c r="K4" s="2"/>
      <c r="L4" s="2"/>
      <c r="M4" s="2"/>
      <c r="N4" s="4"/>
      <c r="O4" s="2"/>
      <c r="P4" s="2"/>
      <c r="Q4" s="2"/>
      <c r="R4" s="2">
        <v>0.6</v>
      </c>
      <c r="S4" s="2"/>
      <c r="T4" s="2"/>
      <c r="U4" s="2"/>
      <c r="V4" s="2"/>
      <c r="W4" s="2"/>
      <c r="X4" s="2"/>
      <c r="Y4" s="2"/>
      <c r="Z4" s="2"/>
      <c r="AA4" s="2"/>
      <c r="AB4" s="2">
        <v>0.7</v>
      </c>
    </row>
    <row r="5" spans="1:28">
      <c r="A5" t="s">
        <v>770</v>
      </c>
      <c r="B5" t="s">
        <v>249</v>
      </c>
      <c r="C5" t="s">
        <v>1420</v>
      </c>
      <c r="D5" t="s">
        <v>1446</v>
      </c>
      <c r="E5">
        <v>213.39</v>
      </c>
      <c r="F5" s="2">
        <v>0.19</v>
      </c>
      <c r="G5" s="2">
        <v>2</v>
      </c>
      <c r="H5" s="2">
        <v>0.2</v>
      </c>
      <c r="I5" s="2"/>
      <c r="J5" s="2"/>
      <c r="K5" s="2"/>
      <c r="L5" s="2"/>
      <c r="M5" s="2">
        <v>0.5</v>
      </c>
      <c r="N5" s="4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>
      <c r="A6" t="s">
        <v>750</v>
      </c>
      <c r="B6" t="s">
        <v>245</v>
      </c>
      <c r="C6" t="s">
        <v>1419</v>
      </c>
      <c r="D6" t="s">
        <v>1446</v>
      </c>
      <c r="E6">
        <v>175.73</v>
      </c>
      <c r="F6" s="2">
        <v>0.2</v>
      </c>
      <c r="G6" s="2">
        <v>2.4</v>
      </c>
      <c r="H6" s="2">
        <v>0.18</v>
      </c>
      <c r="I6" s="2"/>
      <c r="J6" s="2"/>
      <c r="K6" s="2"/>
      <c r="L6" s="2"/>
      <c r="M6" s="2"/>
      <c r="N6" s="4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pans="1:28">
      <c r="A7" t="s">
        <v>752</v>
      </c>
      <c r="B7" t="s">
        <v>245</v>
      </c>
      <c r="C7" t="s">
        <v>1419</v>
      </c>
      <c r="D7" t="s">
        <v>1446</v>
      </c>
      <c r="E7">
        <v>225.94</v>
      </c>
      <c r="F7" s="2">
        <v>0.2</v>
      </c>
      <c r="G7" s="2">
        <v>1.8</v>
      </c>
      <c r="H7" s="2">
        <v>0.2</v>
      </c>
      <c r="I7" s="2"/>
      <c r="J7" s="2"/>
      <c r="K7" s="2"/>
      <c r="L7" s="2"/>
      <c r="M7" s="2"/>
      <c r="N7" s="4"/>
      <c r="O7" s="2"/>
      <c r="P7" s="2"/>
      <c r="Q7" s="2"/>
      <c r="R7" s="2">
        <v>0.72</v>
      </c>
      <c r="S7" s="2"/>
      <c r="T7" s="2"/>
      <c r="U7" s="2"/>
      <c r="V7" s="2"/>
      <c r="W7" s="2"/>
      <c r="X7" s="2"/>
      <c r="Y7" s="2"/>
      <c r="Z7" s="2"/>
      <c r="AA7" s="2"/>
      <c r="AB7" s="2"/>
    </row>
    <row r="8" spans="1:28">
      <c r="A8" t="s">
        <v>754</v>
      </c>
      <c r="B8" t="s">
        <v>245</v>
      </c>
      <c r="C8" t="s">
        <v>1418</v>
      </c>
      <c r="D8" t="s">
        <v>1446</v>
      </c>
      <c r="E8">
        <v>200.84</v>
      </c>
      <c r="F8" s="2">
        <v>0.22</v>
      </c>
      <c r="G8" s="2">
        <v>2.15</v>
      </c>
      <c r="H8" s="2">
        <v>0.2</v>
      </c>
      <c r="I8" s="2"/>
      <c r="J8" s="2">
        <v>1.25</v>
      </c>
      <c r="K8" s="2"/>
      <c r="L8" s="2"/>
      <c r="M8" s="2"/>
      <c r="N8" s="4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pans="1:28">
      <c r="A9" t="s">
        <v>756</v>
      </c>
      <c r="B9" t="s">
        <v>245</v>
      </c>
      <c r="C9" t="s">
        <v>1420</v>
      </c>
      <c r="D9" t="s">
        <v>1446</v>
      </c>
      <c r="E9">
        <v>238.49</v>
      </c>
      <c r="F9" s="2">
        <v>0.25</v>
      </c>
      <c r="G9" s="2">
        <v>2.35</v>
      </c>
      <c r="H9" s="2">
        <v>0.3</v>
      </c>
      <c r="I9" s="2"/>
      <c r="J9" s="2"/>
      <c r="K9" s="2"/>
      <c r="L9" s="2"/>
      <c r="M9" s="2">
        <v>0.5</v>
      </c>
      <c r="N9" s="4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 spans="1:28">
      <c r="A10" t="s">
        <v>748</v>
      </c>
      <c r="B10" t="s">
        <v>254</v>
      </c>
      <c r="C10" t="s">
        <v>1420</v>
      </c>
      <c r="D10" t="s">
        <v>1446</v>
      </c>
      <c r="E10">
        <v>239.49</v>
      </c>
      <c r="F10" s="2">
        <v>0.2</v>
      </c>
      <c r="G10" s="2">
        <v>2.25</v>
      </c>
      <c r="H10" s="2">
        <v>0.25</v>
      </c>
      <c r="I10" s="2"/>
      <c r="J10" s="2"/>
      <c r="K10" s="2"/>
      <c r="L10" s="2"/>
      <c r="M10" s="2"/>
      <c r="N10" s="4"/>
      <c r="O10" s="2"/>
      <c r="P10" s="2">
        <v>0.3</v>
      </c>
      <c r="Q10" s="2"/>
      <c r="R10" s="2"/>
      <c r="S10" s="2"/>
      <c r="T10" s="2"/>
      <c r="U10" s="2"/>
      <c r="V10" s="2"/>
      <c r="W10" s="2"/>
      <c r="X10" s="2"/>
      <c r="Y10" s="2"/>
      <c r="Z10" s="2"/>
      <c r="AA10" s="2">
        <v>0.9</v>
      </c>
      <c r="AB10" s="2"/>
    </row>
    <row r="11" spans="1:28">
      <c r="A11" t="s">
        <v>746</v>
      </c>
      <c r="B11" t="s">
        <v>254</v>
      </c>
      <c r="C11" t="s">
        <v>1420</v>
      </c>
      <c r="D11" t="s">
        <v>1446</v>
      </c>
      <c r="E11">
        <v>263.6</v>
      </c>
      <c r="F11" s="2">
        <v>0.2</v>
      </c>
      <c r="G11" s="2">
        <v>2.2</v>
      </c>
      <c r="H11" s="2">
        <v>0.28</v>
      </c>
      <c r="I11" s="2"/>
      <c r="J11" s="2"/>
      <c r="K11" s="2"/>
      <c r="L11" s="2"/>
      <c r="M11" s="2"/>
      <c r="N11" s="4"/>
      <c r="O11" s="2">
        <v>0.48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 spans="1:28">
      <c r="A12" t="s">
        <v>1342</v>
      </c>
      <c r="B12" t="s">
        <v>254</v>
      </c>
      <c r="C12" t="s">
        <v>1418</v>
      </c>
      <c r="D12" t="s">
        <v>1446</v>
      </c>
      <c r="E12">
        <v>225.94</v>
      </c>
      <c r="F12" s="2">
        <v>0.25</v>
      </c>
      <c r="G12" s="2">
        <v>2</v>
      </c>
      <c r="H12" s="2">
        <v>0.15</v>
      </c>
      <c r="I12" s="2">
        <v>1</v>
      </c>
      <c r="J12" s="2"/>
      <c r="K12" s="2"/>
      <c r="L12" s="2"/>
      <c r="M12" s="2"/>
      <c r="N12" s="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>
      <c r="A13" t="s">
        <v>762</v>
      </c>
      <c r="B13" t="s">
        <v>242</v>
      </c>
      <c r="C13" t="s">
        <v>1420</v>
      </c>
      <c r="D13" t="s">
        <v>1446</v>
      </c>
      <c r="E13">
        <v>213.39</v>
      </c>
      <c r="F13" s="2">
        <v>0.23</v>
      </c>
      <c r="G13" s="2">
        <v>2.25</v>
      </c>
      <c r="H13" s="2">
        <v>0.3</v>
      </c>
      <c r="I13" s="2"/>
      <c r="J13" s="2"/>
      <c r="K13" s="2"/>
      <c r="L13" s="2"/>
      <c r="M13" s="2"/>
      <c r="N13" s="4"/>
      <c r="O13" s="2"/>
      <c r="P13" s="2">
        <v>0.36</v>
      </c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>
      <c r="A14" t="s">
        <v>766</v>
      </c>
      <c r="B14" t="s">
        <v>242</v>
      </c>
      <c r="C14" t="s">
        <v>1418</v>
      </c>
      <c r="D14" t="s">
        <v>1447</v>
      </c>
      <c r="E14">
        <v>238.49</v>
      </c>
      <c r="F14" s="2">
        <v>0.15</v>
      </c>
      <c r="G14" s="2">
        <v>2</v>
      </c>
      <c r="H14" s="2">
        <v>0.33</v>
      </c>
      <c r="I14" s="2"/>
      <c r="J14" s="2"/>
      <c r="K14" s="2">
        <v>1.5</v>
      </c>
      <c r="L14" s="2"/>
      <c r="M14" s="2"/>
      <c r="N14" s="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>
      <c r="A15" t="s">
        <v>1343</v>
      </c>
      <c r="B15" t="s">
        <v>242</v>
      </c>
      <c r="C15" t="s">
        <v>1418</v>
      </c>
      <c r="D15" t="s">
        <v>1446</v>
      </c>
      <c r="E15">
        <v>200.84</v>
      </c>
      <c r="F15" s="2">
        <v>0.22</v>
      </c>
      <c r="G15" s="2">
        <v>2.2</v>
      </c>
      <c r="H15" s="2">
        <v>0.25</v>
      </c>
      <c r="I15" s="2"/>
      <c r="J15" s="2">
        <v>1.25</v>
      </c>
      <c r="K15" s="2"/>
      <c r="L15" s="2"/>
      <c r="M15" s="2"/>
      <c r="N15" s="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>
      <c r="A16" t="s">
        <v>1344</v>
      </c>
      <c r="B16" t="s">
        <v>242</v>
      </c>
      <c r="C16" t="s">
        <v>1420</v>
      </c>
      <c r="D16" t="s">
        <v>1447</v>
      </c>
      <c r="E16">
        <v>225.94</v>
      </c>
      <c r="F16" s="2">
        <v>0.26</v>
      </c>
      <c r="G16" s="2">
        <v>2.45</v>
      </c>
      <c r="H16" s="2">
        <v>0.24</v>
      </c>
      <c r="I16" s="2"/>
      <c r="J16" s="2"/>
      <c r="K16" s="2"/>
      <c r="L16" s="2">
        <v>0.75</v>
      </c>
      <c r="M16" s="2"/>
      <c r="N16" s="4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>
      <c r="A17" t="s">
        <v>764</v>
      </c>
      <c r="B17" t="s">
        <v>242</v>
      </c>
      <c r="C17" t="s">
        <v>1420</v>
      </c>
      <c r="D17" t="s">
        <v>1447</v>
      </c>
      <c r="E17">
        <v>188.28</v>
      </c>
      <c r="F17" s="2">
        <v>0.25</v>
      </c>
      <c r="G17" s="2">
        <v>2.2</v>
      </c>
      <c r="H17" s="2">
        <v>0.15</v>
      </c>
      <c r="I17" s="2"/>
      <c r="J17" s="2"/>
      <c r="K17" s="2">
        <v>1.5</v>
      </c>
      <c r="L17" s="2"/>
      <c r="M17" s="2"/>
      <c r="N17" s="4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>
      <c r="A18" t="s">
        <v>768</v>
      </c>
      <c r="B18" t="s">
        <v>242</v>
      </c>
      <c r="C18" t="s">
        <v>1418</v>
      </c>
      <c r="D18" t="s">
        <v>1447</v>
      </c>
      <c r="E18">
        <v>188.28</v>
      </c>
      <c r="F18" s="2">
        <v>0.24</v>
      </c>
      <c r="G18" s="2">
        <v>2.4</v>
      </c>
      <c r="H18" s="2">
        <v>0.15</v>
      </c>
      <c r="I18" s="2"/>
      <c r="J18" s="2"/>
      <c r="K18" s="2"/>
      <c r="L18" s="2"/>
      <c r="M18" s="2"/>
      <c r="N18" s="4"/>
      <c r="O18" s="2"/>
      <c r="P18" s="2"/>
      <c r="Q18" s="2"/>
      <c r="R18" s="2">
        <v>0.6</v>
      </c>
      <c r="S18" s="2"/>
      <c r="T18" s="2">
        <v>1.8</v>
      </c>
      <c r="U18" s="2"/>
      <c r="V18" s="2"/>
      <c r="W18" s="2"/>
      <c r="X18" s="2"/>
      <c r="Y18" s="2"/>
      <c r="Z18" s="2"/>
      <c r="AA18" s="2"/>
      <c r="AB18" s="2"/>
    </row>
    <row r="19" spans="1:28">
      <c r="A19" t="s">
        <v>743</v>
      </c>
      <c r="B19" t="s">
        <v>265</v>
      </c>
      <c r="C19" t="s">
        <v>1418</v>
      </c>
      <c r="D19" t="s">
        <v>1446</v>
      </c>
      <c r="E19">
        <v>200.84</v>
      </c>
      <c r="F19" s="2">
        <v>0.2</v>
      </c>
      <c r="G19" s="2">
        <v>2.1</v>
      </c>
      <c r="H19" s="2">
        <v>0.33</v>
      </c>
      <c r="I19" s="2"/>
      <c r="J19" s="2"/>
      <c r="K19" s="2">
        <v>1.5</v>
      </c>
      <c r="L19" s="2"/>
      <c r="M19" s="2"/>
      <c r="N19" s="4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 spans="1:28">
      <c r="A20" t="s">
        <v>171</v>
      </c>
      <c r="B20" t="s">
        <v>265</v>
      </c>
      <c r="C20" t="s">
        <v>1419</v>
      </c>
      <c r="D20" t="s">
        <v>1446</v>
      </c>
      <c r="E20">
        <v>188.28</v>
      </c>
      <c r="F20" s="2">
        <v>0.25</v>
      </c>
      <c r="G20" s="2">
        <v>2.3</v>
      </c>
      <c r="H20" s="2">
        <v>0.15</v>
      </c>
      <c r="I20" s="2"/>
      <c r="J20" s="2"/>
      <c r="K20" s="2"/>
      <c r="L20" s="2"/>
      <c r="M20" s="2"/>
      <c r="N20" s="4"/>
      <c r="O20" s="2"/>
      <c r="P20" s="2"/>
      <c r="Q20" s="2"/>
      <c r="R20" s="2"/>
      <c r="S20" s="2"/>
      <c r="T20" s="2">
        <v>1.2</v>
      </c>
      <c r="U20" s="2"/>
      <c r="V20" s="2"/>
      <c r="W20" s="2"/>
      <c r="X20" s="2"/>
      <c r="Y20" s="2"/>
      <c r="Z20" s="2"/>
      <c r="AA20" s="2"/>
      <c r="AB20" s="2"/>
    </row>
    <row r="21" spans="1:28">
      <c r="A21" t="s">
        <v>1345</v>
      </c>
      <c r="B21" t="s">
        <v>265</v>
      </c>
      <c r="C21" t="s">
        <v>1420</v>
      </c>
      <c r="D21" t="s">
        <v>1446</v>
      </c>
      <c r="E21">
        <v>225.94</v>
      </c>
      <c r="F21" s="2">
        <v>0.25</v>
      </c>
      <c r="G21" s="2">
        <v>2.05</v>
      </c>
      <c r="H21" s="2">
        <v>0.3</v>
      </c>
      <c r="I21" s="2"/>
      <c r="J21" s="2"/>
      <c r="K21" s="2"/>
      <c r="L21" s="2">
        <v>0.75</v>
      </c>
      <c r="M21" s="2"/>
      <c r="N21" s="4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>
        <v>0.7</v>
      </c>
      <c r="AB21" s="2"/>
    </row>
    <row r="22" spans="1:28">
      <c r="A22" t="s">
        <v>760</v>
      </c>
      <c r="B22" t="s">
        <v>251</v>
      </c>
      <c r="C22" t="s">
        <v>1419</v>
      </c>
      <c r="D22" t="s">
        <v>1446</v>
      </c>
      <c r="E22">
        <v>200.84</v>
      </c>
      <c r="F22" s="2">
        <v>0.32</v>
      </c>
      <c r="G22" s="2">
        <v>1.8</v>
      </c>
      <c r="H22" s="2">
        <v>0.15</v>
      </c>
      <c r="I22" s="2">
        <v>1</v>
      </c>
      <c r="J22" s="2"/>
      <c r="K22" s="2"/>
      <c r="L22" s="2"/>
      <c r="M22" s="2"/>
      <c r="N22" s="4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 spans="1:28">
      <c r="A23" t="s">
        <v>758</v>
      </c>
      <c r="B23" t="s">
        <v>251</v>
      </c>
      <c r="C23" t="s">
        <v>1420</v>
      </c>
      <c r="D23" t="s">
        <v>1447</v>
      </c>
      <c r="E23">
        <v>225.94</v>
      </c>
      <c r="F23" s="2">
        <v>0.2</v>
      </c>
      <c r="G23" s="2">
        <v>1.8</v>
      </c>
      <c r="H23" s="2">
        <v>0.2</v>
      </c>
      <c r="I23" s="2"/>
      <c r="J23" s="2"/>
      <c r="K23" s="2"/>
      <c r="L23" s="2"/>
      <c r="M23" s="2"/>
      <c r="N23" s="4"/>
      <c r="O23" s="2"/>
      <c r="P23" s="2">
        <v>0.36</v>
      </c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 spans="1:28">
      <c r="A24" t="s">
        <v>1346</v>
      </c>
      <c r="B24" t="s">
        <v>251</v>
      </c>
      <c r="C24" t="s">
        <v>1419</v>
      </c>
      <c r="D24" t="s">
        <v>1446</v>
      </c>
      <c r="E24">
        <v>188.28</v>
      </c>
      <c r="F24" s="2">
        <v>0.15</v>
      </c>
      <c r="G24" s="2">
        <v>1.65</v>
      </c>
      <c r="H24" s="2">
        <v>0.1</v>
      </c>
      <c r="I24" s="2"/>
      <c r="J24" s="2"/>
      <c r="K24" s="2"/>
      <c r="L24" s="2"/>
      <c r="M24" s="2"/>
      <c r="N24" s="4"/>
      <c r="O24" s="2"/>
      <c r="P24" s="2"/>
      <c r="Q24" s="2"/>
      <c r="R24" s="2"/>
      <c r="S24" s="2"/>
      <c r="T24" s="2">
        <v>1</v>
      </c>
      <c r="U24" s="2"/>
      <c r="V24" s="2"/>
      <c r="W24" s="2"/>
      <c r="X24" s="2"/>
      <c r="Y24" s="2"/>
      <c r="Z24" s="2"/>
      <c r="AA24" s="2"/>
      <c r="AB24" s="2"/>
    </row>
    <row r="25" spans="1:28">
      <c r="A25" t="s">
        <v>1347</v>
      </c>
      <c r="B25" t="s">
        <v>251</v>
      </c>
      <c r="C25" t="s">
        <v>1418</v>
      </c>
      <c r="D25" t="s">
        <v>1446</v>
      </c>
      <c r="E25">
        <v>213.39</v>
      </c>
      <c r="F25" s="2">
        <v>0.2</v>
      </c>
      <c r="G25" s="2">
        <v>2</v>
      </c>
      <c r="H25" s="2">
        <v>0.15</v>
      </c>
      <c r="I25" s="2"/>
      <c r="J25" s="2">
        <v>1.25</v>
      </c>
      <c r="K25" s="2"/>
      <c r="L25" s="2"/>
      <c r="M25" s="2"/>
      <c r="N25" s="4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72"/>
  <sheetViews>
    <sheetView tabSelected="1" workbookViewId="0">
      <selection activeCell="C73" sqref="C73"/>
    </sheetView>
  </sheetViews>
  <sheetFormatPr defaultColWidth="9" defaultRowHeight="14.25" outlineLevelCol="3"/>
  <cols>
    <col min="1" max="1" width="10.25" customWidth="1"/>
    <col min="2" max="2" width="17.25" customWidth="1"/>
  </cols>
  <sheetData>
    <row r="1" spans="1:4">
      <c r="A1" t="s">
        <v>1450</v>
      </c>
      <c r="B1" t="s">
        <v>46</v>
      </c>
      <c r="C1" t="s">
        <v>1451</v>
      </c>
      <c r="D1" t="s">
        <v>1452</v>
      </c>
    </row>
    <row r="2" spans="1:4">
      <c r="A2" t="s">
        <v>244</v>
      </c>
      <c r="B2" t="s">
        <v>160</v>
      </c>
      <c r="C2" s="2">
        <v>0.35</v>
      </c>
      <c r="D2">
        <v>1</v>
      </c>
    </row>
    <row r="3" spans="1:4">
      <c r="A3" t="s">
        <v>244</v>
      </c>
      <c r="B3" t="s">
        <v>1453</v>
      </c>
      <c r="C3" s="2">
        <v>0.25</v>
      </c>
      <c r="D3">
        <v>3</v>
      </c>
    </row>
    <row r="4" spans="1:4">
      <c r="A4" t="s">
        <v>244</v>
      </c>
      <c r="B4" t="s">
        <v>1454</v>
      </c>
      <c r="C4" s="2">
        <v>0.5</v>
      </c>
      <c r="D4">
        <v>1</v>
      </c>
    </row>
    <row r="5" spans="1:4">
      <c r="A5" t="s">
        <v>244</v>
      </c>
      <c r="B5" t="s">
        <v>1455</v>
      </c>
      <c r="C5" s="2">
        <v>0.4</v>
      </c>
      <c r="D5">
        <v>1</v>
      </c>
    </row>
    <row r="6" spans="1:4">
      <c r="A6" t="s">
        <v>244</v>
      </c>
      <c r="B6" t="s">
        <v>1456</v>
      </c>
      <c r="C6" s="2">
        <v>0.75</v>
      </c>
      <c r="D6">
        <v>1</v>
      </c>
    </row>
    <row r="7" spans="1:4">
      <c r="A7" t="s">
        <v>244</v>
      </c>
      <c r="B7" t="s">
        <v>1457</v>
      </c>
      <c r="C7" s="2">
        <v>0.1</v>
      </c>
      <c r="D7">
        <v>1</v>
      </c>
    </row>
    <row r="8" spans="1:4">
      <c r="A8" t="s">
        <v>244</v>
      </c>
      <c r="B8" t="s">
        <v>1458</v>
      </c>
      <c r="C8" s="2">
        <v>0.47</v>
      </c>
      <c r="D8">
        <v>1</v>
      </c>
    </row>
    <row r="9" spans="1:4">
      <c r="A9" t="s">
        <v>244</v>
      </c>
      <c r="B9" t="s">
        <v>1459</v>
      </c>
      <c r="C9" s="2">
        <v>0.4</v>
      </c>
      <c r="D9">
        <v>1</v>
      </c>
    </row>
    <row r="10" spans="1:4">
      <c r="A10" t="s">
        <v>244</v>
      </c>
      <c r="B10" t="s">
        <v>1460</v>
      </c>
      <c r="C10" s="2">
        <v>0.5</v>
      </c>
      <c r="D10">
        <v>1</v>
      </c>
    </row>
    <row r="11" spans="1:4">
      <c r="A11" t="s">
        <v>244</v>
      </c>
      <c r="B11" t="s">
        <v>1461</v>
      </c>
      <c r="C11" s="2">
        <v>0.7</v>
      </c>
      <c r="D11">
        <v>1</v>
      </c>
    </row>
    <row r="12" spans="1:4">
      <c r="A12" t="s">
        <v>244</v>
      </c>
      <c r="B12" t="s">
        <v>1462</v>
      </c>
      <c r="C12" s="2">
        <v>1.1</v>
      </c>
      <c r="D12">
        <v>1</v>
      </c>
    </row>
    <row r="13" spans="1:4">
      <c r="A13" t="s">
        <v>244</v>
      </c>
      <c r="B13" t="s">
        <v>1463</v>
      </c>
      <c r="C13" s="2">
        <v>1.2</v>
      </c>
      <c r="D13">
        <v>2</v>
      </c>
    </row>
    <row r="14" spans="1:4">
      <c r="A14" t="s">
        <v>244</v>
      </c>
      <c r="B14" t="s">
        <v>1464</v>
      </c>
      <c r="C14" s="2">
        <v>0.5</v>
      </c>
      <c r="D14">
        <v>2</v>
      </c>
    </row>
    <row r="15" spans="1:4">
      <c r="A15" t="s">
        <v>244</v>
      </c>
      <c r="B15" t="s">
        <v>1465</v>
      </c>
      <c r="C15" s="2">
        <v>1.5</v>
      </c>
      <c r="D15">
        <v>1</v>
      </c>
    </row>
    <row r="16" spans="1:4">
      <c r="A16" t="s">
        <v>244</v>
      </c>
      <c r="B16" t="s">
        <v>1466</v>
      </c>
      <c r="C16" s="2">
        <v>0.3</v>
      </c>
      <c r="D16">
        <v>5</v>
      </c>
    </row>
    <row r="17" spans="1:4">
      <c r="A17" t="s">
        <v>244</v>
      </c>
      <c r="B17" t="s">
        <v>1467</v>
      </c>
      <c r="C17" s="2">
        <v>1.25</v>
      </c>
      <c r="D17">
        <v>1</v>
      </c>
    </row>
    <row r="18" spans="1:4">
      <c r="A18" t="s">
        <v>253</v>
      </c>
      <c r="B18" t="s">
        <v>160</v>
      </c>
      <c r="C18" s="2">
        <v>0.4</v>
      </c>
      <c r="D18">
        <v>1</v>
      </c>
    </row>
    <row r="19" spans="1:4">
      <c r="A19" t="s">
        <v>253</v>
      </c>
      <c r="B19" t="s">
        <v>1453</v>
      </c>
      <c r="C19" s="2">
        <v>0.45</v>
      </c>
      <c r="D19">
        <v>1</v>
      </c>
    </row>
    <row r="20" spans="1:4">
      <c r="A20" t="s">
        <v>253</v>
      </c>
      <c r="B20" t="s">
        <v>1454</v>
      </c>
      <c r="C20" s="2">
        <v>0.5</v>
      </c>
      <c r="D20">
        <v>1</v>
      </c>
    </row>
    <row r="21" spans="1:4">
      <c r="A21" t="s">
        <v>253</v>
      </c>
      <c r="B21" t="s">
        <v>1455</v>
      </c>
      <c r="C21" s="2">
        <v>1.2</v>
      </c>
      <c r="D21">
        <v>1</v>
      </c>
    </row>
    <row r="22" spans="1:4">
      <c r="A22" t="s">
        <v>253</v>
      </c>
      <c r="B22" t="s">
        <v>1468</v>
      </c>
      <c r="C22" s="2">
        <v>1.2</v>
      </c>
      <c r="D22">
        <v>1</v>
      </c>
    </row>
    <row r="23" spans="1:4">
      <c r="A23" t="s">
        <v>253</v>
      </c>
      <c r="B23" t="s">
        <v>1469</v>
      </c>
      <c r="C23" s="2">
        <v>0.7</v>
      </c>
      <c r="D23">
        <v>2</v>
      </c>
    </row>
    <row r="24" spans="1:4">
      <c r="A24" t="s">
        <v>253</v>
      </c>
      <c r="B24" t="s">
        <v>1470</v>
      </c>
      <c r="C24" s="2">
        <v>1.45</v>
      </c>
      <c r="D24">
        <v>3</v>
      </c>
    </row>
    <row r="25" spans="1:4">
      <c r="A25" t="s">
        <v>253</v>
      </c>
      <c r="B25" t="s">
        <v>1471</v>
      </c>
      <c r="C25" s="2">
        <v>1.8</v>
      </c>
      <c r="D25">
        <v>1</v>
      </c>
    </row>
    <row r="26" spans="1:4">
      <c r="A26" t="s">
        <v>253</v>
      </c>
      <c r="B26" t="s">
        <v>1472</v>
      </c>
      <c r="C26" s="2">
        <v>0.55</v>
      </c>
      <c r="D26">
        <v>1</v>
      </c>
    </row>
    <row r="27" spans="1:4">
      <c r="A27" t="s">
        <v>253</v>
      </c>
      <c r="B27" t="s">
        <v>1473</v>
      </c>
      <c r="C27" s="2">
        <v>2</v>
      </c>
      <c r="D27">
        <v>1</v>
      </c>
    </row>
    <row r="28" spans="1:4">
      <c r="A28" t="s">
        <v>253</v>
      </c>
      <c r="B28" t="s">
        <v>1458</v>
      </c>
      <c r="C28" s="2">
        <v>0.55</v>
      </c>
      <c r="D28">
        <v>1</v>
      </c>
    </row>
    <row r="29" spans="1:4">
      <c r="A29" t="s">
        <v>253</v>
      </c>
      <c r="B29" t="s">
        <v>1474</v>
      </c>
      <c r="C29" s="2">
        <v>0.5</v>
      </c>
      <c r="D29">
        <v>1</v>
      </c>
    </row>
    <row r="30" spans="1:4">
      <c r="A30" t="s">
        <v>253</v>
      </c>
      <c r="B30" t="s">
        <v>1457</v>
      </c>
      <c r="C30" s="2">
        <v>0.51</v>
      </c>
      <c r="D30">
        <v>1</v>
      </c>
    </row>
    <row r="31" spans="1:4">
      <c r="A31" t="s">
        <v>253</v>
      </c>
      <c r="B31" t="s">
        <v>1459</v>
      </c>
      <c r="C31" s="2">
        <v>0.73</v>
      </c>
      <c r="D31">
        <v>1</v>
      </c>
    </row>
    <row r="32" spans="1:4">
      <c r="A32" t="s">
        <v>261</v>
      </c>
      <c r="B32" t="s">
        <v>160</v>
      </c>
      <c r="C32" s="2">
        <v>0.2</v>
      </c>
      <c r="D32">
        <v>2</v>
      </c>
    </row>
    <row r="33" spans="1:4">
      <c r="A33" t="s">
        <v>261</v>
      </c>
      <c r="B33" t="s">
        <v>1453</v>
      </c>
      <c r="C33" s="2">
        <v>0.25</v>
      </c>
      <c r="D33">
        <v>2</v>
      </c>
    </row>
    <row r="34" spans="1:4">
      <c r="A34" t="s">
        <v>261</v>
      </c>
      <c r="B34" t="s">
        <v>1454</v>
      </c>
      <c r="C34" s="2">
        <v>0.38</v>
      </c>
      <c r="D34">
        <v>1</v>
      </c>
    </row>
    <row r="35" spans="1:4">
      <c r="A35" t="s">
        <v>261</v>
      </c>
      <c r="B35" t="s">
        <v>1455</v>
      </c>
      <c r="C35" s="2">
        <v>0.43</v>
      </c>
      <c r="D35">
        <v>3</v>
      </c>
    </row>
    <row r="36" spans="1:4">
      <c r="A36" t="s">
        <v>261</v>
      </c>
      <c r="B36" t="s">
        <v>1475</v>
      </c>
      <c r="C36" s="2">
        <v>0.55</v>
      </c>
      <c r="D36">
        <v>1</v>
      </c>
    </row>
    <row r="37" spans="1:4">
      <c r="A37" t="s">
        <v>261</v>
      </c>
      <c r="B37" t="s">
        <v>1476</v>
      </c>
      <c r="C37" s="2">
        <v>1.15</v>
      </c>
      <c r="D37">
        <v>1</v>
      </c>
    </row>
    <row r="38" spans="1:4">
      <c r="A38" t="s">
        <v>261</v>
      </c>
      <c r="B38" t="s">
        <v>1477</v>
      </c>
      <c r="C38" s="2">
        <v>0.55</v>
      </c>
      <c r="D38">
        <v>4</v>
      </c>
    </row>
    <row r="39" spans="1:4">
      <c r="A39" t="s">
        <v>261</v>
      </c>
      <c r="B39" t="s">
        <v>1478</v>
      </c>
      <c r="C39" s="2">
        <v>0.82</v>
      </c>
      <c r="D39">
        <v>5</v>
      </c>
    </row>
    <row r="40" spans="1:4">
      <c r="A40" t="s">
        <v>261</v>
      </c>
      <c r="B40" t="s">
        <v>1458</v>
      </c>
      <c r="C40" s="2">
        <v>0.2</v>
      </c>
      <c r="D40">
        <v>6</v>
      </c>
    </row>
    <row r="41" spans="1:4">
      <c r="A41" t="s">
        <v>261</v>
      </c>
      <c r="B41" t="s">
        <v>1474</v>
      </c>
      <c r="C41" s="2">
        <v>0.55</v>
      </c>
      <c r="D41">
        <v>1</v>
      </c>
    </row>
    <row r="42" spans="1:4">
      <c r="A42" t="s">
        <v>261</v>
      </c>
      <c r="B42" t="s">
        <v>1457</v>
      </c>
      <c r="C42" s="2">
        <v>0.36</v>
      </c>
      <c r="D42">
        <v>2</v>
      </c>
    </row>
    <row r="43" spans="1:4">
      <c r="A43" t="s">
        <v>261</v>
      </c>
      <c r="B43" t="s">
        <v>1479</v>
      </c>
      <c r="C43" s="2">
        <v>2</v>
      </c>
      <c r="D43">
        <v>1</v>
      </c>
    </row>
    <row r="44" spans="1:4">
      <c r="A44" t="s">
        <v>261</v>
      </c>
      <c r="B44" t="s">
        <v>1459</v>
      </c>
      <c r="C44" s="2">
        <v>0.51</v>
      </c>
      <c r="D44">
        <v>1</v>
      </c>
    </row>
    <row r="45" spans="1:4">
      <c r="A45" t="s">
        <v>241</v>
      </c>
      <c r="B45" t="s">
        <v>160</v>
      </c>
      <c r="C45" s="2">
        <v>0.2</v>
      </c>
      <c r="D45">
        <v>3</v>
      </c>
    </row>
    <row r="46" spans="1:4">
      <c r="A46" t="s">
        <v>241</v>
      </c>
      <c r="B46" t="s">
        <v>1453</v>
      </c>
      <c r="C46" s="2">
        <v>0.3</v>
      </c>
      <c r="D46">
        <v>4</v>
      </c>
    </row>
    <row r="47" spans="1:4">
      <c r="A47" t="s">
        <v>241</v>
      </c>
      <c r="B47" t="s">
        <v>1454</v>
      </c>
      <c r="C47" s="2">
        <v>0.4</v>
      </c>
      <c r="D47">
        <v>3</v>
      </c>
    </row>
    <row r="48" spans="1:4">
      <c r="A48" t="s">
        <v>241</v>
      </c>
      <c r="B48" t="s">
        <v>1455</v>
      </c>
      <c r="C48" s="2">
        <v>0.85</v>
      </c>
      <c r="D48">
        <v>1</v>
      </c>
    </row>
    <row r="49" spans="1:4">
      <c r="A49" t="s">
        <v>241</v>
      </c>
      <c r="B49" t="s">
        <v>1458</v>
      </c>
      <c r="C49" s="2">
        <v>0.1</v>
      </c>
      <c r="D49">
        <v>9</v>
      </c>
    </row>
    <row r="50" spans="1:4">
      <c r="A50" t="s">
        <v>241</v>
      </c>
      <c r="B50" t="s">
        <v>1480</v>
      </c>
      <c r="C50" s="2">
        <v>0.75</v>
      </c>
      <c r="D50">
        <v>1</v>
      </c>
    </row>
    <row r="51" spans="1:4">
      <c r="A51" t="s">
        <v>241</v>
      </c>
      <c r="B51" t="s">
        <v>1481</v>
      </c>
      <c r="C51" s="2">
        <v>0.65</v>
      </c>
      <c r="D51">
        <v>8</v>
      </c>
    </row>
    <row r="52" spans="1:4">
      <c r="A52" t="s">
        <v>241</v>
      </c>
      <c r="B52" t="s">
        <v>1482</v>
      </c>
      <c r="C52" s="2">
        <v>1.9</v>
      </c>
      <c r="D52">
        <v>1</v>
      </c>
    </row>
    <row r="53" spans="1:4">
      <c r="A53" t="s">
        <v>241</v>
      </c>
      <c r="B53" t="s">
        <v>1457</v>
      </c>
      <c r="C53" s="2">
        <v>0.51</v>
      </c>
      <c r="D53">
        <v>1</v>
      </c>
    </row>
    <row r="54" spans="1:4">
      <c r="A54" t="s">
        <v>241</v>
      </c>
      <c r="B54" t="s">
        <v>1459</v>
      </c>
      <c r="C54" s="2">
        <v>0.51</v>
      </c>
      <c r="D54">
        <v>1</v>
      </c>
    </row>
    <row r="55" spans="1:4">
      <c r="A55" t="s">
        <v>247</v>
      </c>
      <c r="B55" t="s">
        <v>160</v>
      </c>
      <c r="C55" s="2">
        <v>0.45</v>
      </c>
      <c r="D55">
        <v>1</v>
      </c>
    </row>
    <row r="56" spans="1:4">
      <c r="A56" t="s">
        <v>247</v>
      </c>
      <c r="B56" t="s">
        <v>1453</v>
      </c>
      <c r="C56" s="2">
        <v>0.5</v>
      </c>
      <c r="D56">
        <v>1</v>
      </c>
    </row>
    <row r="57" spans="1:4">
      <c r="A57" t="s">
        <v>247</v>
      </c>
      <c r="B57" t="s">
        <v>1454</v>
      </c>
      <c r="C57" s="2">
        <v>0.4</v>
      </c>
      <c r="D57">
        <v>2</v>
      </c>
    </row>
    <row r="58" spans="1:4">
      <c r="A58" t="s">
        <v>247</v>
      </c>
      <c r="B58" t="s">
        <v>1455</v>
      </c>
      <c r="C58" s="2">
        <v>0.82</v>
      </c>
      <c r="D58">
        <v>1</v>
      </c>
    </row>
    <row r="59" spans="1:4">
      <c r="A59" t="s">
        <v>247</v>
      </c>
      <c r="B59" t="s">
        <v>1458</v>
      </c>
      <c r="C59" s="2">
        <v>1.13</v>
      </c>
      <c r="D59">
        <v>1</v>
      </c>
    </row>
    <row r="60" spans="1:4">
      <c r="A60" t="s">
        <v>247</v>
      </c>
      <c r="B60" t="s">
        <v>1457</v>
      </c>
      <c r="C60" s="2">
        <v>0.51</v>
      </c>
      <c r="D60">
        <v>1</v>
      </c>
    </row>
    <row r="61" spans="1:4">
      <c r="A61" t="s">
        <v>247</v>
      </c>
      <c r="B61" t="s">
        <v>1459</v>
      </c>
      <c r="C61" s="2">
        <v>0.51</v>
      </c>
      <c r="D61">
        <v>1</v>
      </c>
    </row>
    <row r="62" spans="1:4">
      <c r="A62" t="s">
        <v>247</v>
      </c>
      <c r="B62" t="s">
        <v>160</v>
      </c>
      <c r="C62" s="2">
        <v>0.65</v>
      </c>
      <c r="D62">
        <v>1</v>
      </c>
    </row>
    <row r="63" spans="1:4">
      <c r="A63" t="s">
        <v>247</v>
      </c>
      <c r="B63" t="s">
        <v>1453</v>
      </c>
      <c r="C63" s="2">
        <v>0.9</v>
      </c>
      <c r="D63">
        <v>1</v>
      </c>
    </row>
    <row r="64" spans="1:4">
      <c r="A64" t="s">
        <v>247</v>
      </c>
      <c r="B64" t="s">
        <v>1454</v>
      </c>
      <c r="C64" s="2">
        <v>0.55</v>
      </c>
      <c r="D64">
        <v>4</v>
      </c>
    </row>
    <row r="65" spans="1:4">
      <c r="A65" t="s">
        <v>247</v>
      </c>
      <c r="B65" t="s">
        <v>1455</v>
      </c>
      <c r="C65" s="2">
        <v>1.2</v>
      </c>
      <c r="D65">
        <v>1</v>
      </c>
    </row>
    <row r="66" spans="1:4">
      <c r="A66" t="s">
        <v>263</v>
      </c>
      <c r="B66" t="s">
        <v>160</v>
      </c>
      <c r="C66" s="2">
        <v>0.4</v>
      </c>
      <c r="D66">
        <v>1</v>
      </c>
    </row>
    <row r="67" spans="1:4">
      <c r="A67" t="s">
        <v>263</v>
      </c>
      <c r="B67" t="s">
        <v>1453</v>
      </c>
      <c r="C67" s="2">
        <v>0.5</v>
      </c>
      <c r="D67">
        <v>1</v>
      </c>
    </row>
    <row r="68" spans="1:4">
      <c r="A68" t="s">
        <v>263</v>
      </c>
      <c r="B68" t="s">
        <v>1454</v>
      </c>
      <c r="C68" s="2">
        <v>0.6</v>
      </c>
      <c r="D68">
        <v>1</v>
      </c>
    </row>
    <row r="69" spans="1:4">
      <c r="A69" t="s">
        <v>263</v>
      </c>
      <c r="B69" t="s">
        <v>1455</v>
      </c>
      <c r="C69" s="2">
        <v>0.5</v>
      </c>
      <c r="D69">
        <v>2</v>
      </c>
    </row>
    <row r="70" spans="1:4">
      <c r="A70" t="s">
        <v>263</v>
      </c>
      <c r="B70" t="s">
        <v>1458</v>
      </c>
      <c r="C70" s="2">
        <v>0.161</v>
      </c>
      <c r="D70">
        <v>1</v>
      </c>
    </row>
    <row r="71" spans="1:4">
      <c r="A71" t="s">
        <v>263</v>
      </c>
      <c r="B71" t="s">
        <v>1457</v>
      </c>
      <c r="C71" s="2">
        <v>0.51</v>
      </c>
      <c r="D71">
        <v>1</v>
      </c>
    </row>
    <row r="72" spans="1:4">
      <c r="A72" t="s">
        <v>263</v>
      </c>
      <c r="B72" t="s">
        <v>1459</v>
      </c>
      <c r="C72" s="2">
        <v>0.51</v>
      </c>
      <c r="D72">
        <v>1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workbookViewId="0">
      <selection activeCell="I38" sqref="I38"/>
    </sheetView>
  </sheetViews>
  <sheetFormatPr defaultColWidth="9" defaultRowHeight="14.25" outlineLevelCol="5"/>
  <cols>
    <col min="1" max="1" width="10.25" customWidth="1"/>
    <col min="2" max="2" width="22.25" customWidth="1"/>
    <col min="3" max="3" width="13" customWidth="1"/>
  </cols>
  <sheetData>
    <row r="1" spans="1:6">
      <c r="A1" t="s">
        <v>1450</v>
      </c>
      <c r="B1" t="s">
        <v>1483</v>
      </c>
      <c r="C1" t="s">
        <v>46</v>
      </c>
      <c r="D1" t="s">
        <v>1451</v>
      </c>
      <c r="E1" t="s">
        <v>1484</v>
      </c>
      <c r="F1" t="s">
        <v>1485</v>
      </c>
    </row>
    <row r="2" spans="1:6">
      <c r="A2" t="s">
        <v>249</v>
      </c>
      <c r="B2" t="s">
        <v>1486</v>
      </c>
      <c r="C2" t="s">
        <v>175</v>
      </c>
      <c r="D2" s="5">
        <v>0.063</v>
      </c>
      <c r="E2">
        <v>7</v>
      </c>
      <c r="F2">
        <v>1</v>
      </c>
    </row>
    <row r="3" spans="1:6">
      <c r="A3" t="s">
        <v>249</v>
      </c>
      <c r="B3" t="s">
        <v>774</v>
      </c>
      <c r="C3" t="s">
        <v>175</v>
      </c>
      <c r="D3" s="5">
        <v>0.18</v>
      </c>
      <c r="E3">
        <v>1</v>
      </c>
      <c r="F3">
        <v>1</v>
      </c>
    </row>
    <row r="4" spans="1:6">
      <c r="A4" t="s">
        <v>249</v>
      </c>
      <c r="B4" t="s">
        <v>770</v>
      </c>
      <c r="C4" t="s">
        <v>175</v>
      </c>
      <c r="D4" s="5">
        <v>0.35</v>
      </c>
      <c r="E4">
        <v>1</v>
      </c>
      <c r="F4">
        <v>1</v>
      </c>
    </row>
    <row r="5" spans="1:6">
      <c r="A5" t="s">
        <v>249</v>
      </c>
      <c r="B5" t="s">
        <v>770</v>
      </c>
      <c r="C5" t="s">
        <v>1487</v>
      </c>
      <c r="D5" s="5">
        <v>0.6</v>
      </c>
      <c r="E5">
        <v>1</v>
      </c>
      <c r="F5">
        <v>1</v>
      </c>
    </row>
    <row r="6" spans="1:6">
      <c r="A6" t="s">
        <v>249</v>
      </c>
      <c r="B6" t="s">
        <v>770</v>
      </c>
      <c r="C6" t="s">
        <v>1488</v>
      </c>
      <c r="D6" s="5">
        <v>1.43</v>
      </c>
      <c r="E6">
        <v>1</v>
      </c>
      <c r="F6">
        <v>1</v>
      </c>
    </row>
    <row r="7" spans="1:6">
      <c r="A7" t="s">
        <v>245</v>
      </c>
      <c r="B7" t="s">
        <v>750</v>
      </c>
      <c r="C7" t="s">
        <v>175</v>
      </c>
      <c r="D7" s="5">
        <v>0.8</v>
      </c>
      <c r="E7">
        <v>1</v>
      </c>
      <c r="F7">
        <v>1</v>
      </c>
    </row>
    <row r="8" spans="1:6">
      <c r="A8" t="s">
        <v>245</v>
      </c>
      <c r="B8" t="s">
        <v>750</v>
      </c>
      <c r="C8" t="s">
        <v>1489</v>
      </c>
      <c r="D8" s="5">
        <v>0.15</v>
      </c>
      <c r="E8">
        <v>6</v>
      </c>
      <c r="F8">
        <v>1</v>
      </c>
    </row>
    <row r="9" spans="1:6">
      <c r="A9" t="s">
        <v>245</v>
      </c>
      <c r="B9" t="s">
        <v>754</v>
      </c>
      <c r="C9" t="s">
        <v>175</v>
      </c>
      <c r="D9" s="5">
        <v>0.15</v>
      </c>
      <c r="E9">
        <v>1</v>
      </c>
      <c r="F9">
        <v>1</v>
      </c>
    </row>
    <row r="10" spans="1:6">
      <c r="A10" t="s">
        <v>245</v>
      </c>
      <c r="B10" t="s">
        <v>754</v>
      </c>
      <c r="C10" t="s">
        <v>1490</v>
      </c>
      <c r="D10" s="5">
        <v>0.04</v>
      </c>
      <c r="E10">
        <v>2</v>
      </c>
      <c r="F10">
        <v>1</v>
      </c>
    </row>
    <row r="11" spans="1:6">
      <c r="A11" t="s">
        <v>245</v>
      </c>
      <c r="B11" t="s">
        <v>754</v>
      </c>
      <c r="C11" t="s">
        <v>1489</v>
      </c>
      <c r="D11" s="5">
        <v>0.08</v>
      </c>
      <c r="E11">
        <v>1</v>
      </c>
      <c r="F11">
        <v>1</v>
      </c>
    </row>
    <row r="12" spans="1:6">
      <c r="A12" t="s">
        <v>245</v>
      </c>
      <c r="B12" t="s">
        <v>752</v>
      </c>
      <c r="C12" t="s">
        <v>175</v>
      </c>
      <c r="D12" s="5">
        <v>0.95</v>
      </c>
      <c r="E12">
        <v>1</v>
      </c>
      <c r="F12">
        <v>1</v>
      </c>
    </row>
    <row r="13" spans="1:6">
      <c r="A13" t="s">
        <v>245</v>
      </c>
      <c r="B13" t="s">
        <v>756</v>
      </c>
      <c r="C13" t="s">
        <v>175</v>
      </c>
      <c r="D13" s="5">
        <v>0.072</v>
      </c>
      <c r="E13">
        <v>1</v>
      </c>
      <c r="F13">
        <v>2.85714</v>
      </c>
    </row>
    <row r="14" spans="1:6">
      <c r="A14" t="s">
        <v>245</v>
      </c>
      <c r="B14" t="s">
        <v>756</v>
      </c>
      <c r="C14" t="s">
        <v>1487</v>
      </c>
      <c r="D14" s="5">
        <v>0.072</v>
      </c>
      <c r="E14">
        <v>1</v>
      </c>
      <c r="F14">
        <v>4</v>
      </c>
    </row>
    <row r="15" spans="1:6">
      <c r="A15" t="s">
        <v>245</v>
      </c>
      <c r="B15" t="s">
        <v>756</v>
      </c>
      <c r="C15" t="s">
        <v>1488</v>
      </c>
      <c r="D15" s="5">
        <v>0.072</v>
      </c>
      <c r="E15">
        <v>1</v>
      </c>
      <c r="F15">
        <v>6.66667</v>
      </c>
    </row>
    <row r="16" spans="1:6">
      <c r="A16" t="s">
        <v>245</v>
      </c>
      <c r="B16" t="s">
        <v>756</v>
      </c>
      <c r="C16" t="s">
        <v>1491</v>
      </c>
      <c r="D16" s="5">
        <v>0.072</v>
      </c>
      <c r="E16">
        <v>1</v>
      </c>
      <c r="F16">
        <v>20</v>
      </c>
    </row>
    <row r="17" spans="1:6">
      <c r="A17" t="s">
        <v>242</v>
      </c>
      <c r="B17" t="s">
        <v>1343</v>
      </c>
      <c r="C17" t="s">
        <v>175</v>
      </c>
      <c r="D17" s="5">
        <v>0.06</v>
      </c>
      <c r="E17">
        <v>1</v>
      </c>
      <c r="F17">
        <v>10</v>
      </c>
    </row>
    <row r="18" spans="1:6">
      <c r="A18" t="s">
        <v>242</v>
      </c>
      <c r="B18" t="s">
        <v>1344</v>
      </c>
      <c r="C18" t="s">
        <v>1492</v>
      </c>
      <c r="D18" s="5">
        <v>0.12</v>
      </c>
      <c r="E18">
        <v>1</v>
      </c>
      <c r="F18">
        <v>2</v>
      </c>
    </row>
    <row r="19" spans="1:6">
      <c r="A19" t="s">
        <v>242</v>
      </c>
      <c r="B19" t="s">
        <v>1344</v>
      </c>
      <c r="C19" t="s">
        <v>1493</v>
      </c>
      <c r="D19" s="5">
        <v>0.2</v>
      </c>
      <c r="E19">
        <v>1</v>
      </c>
      <c r="F19">
        <v>2.85714</v>
      </c>
    </row>
    <row r="20" spans="1:6">
      <c r="A20" t="s">
        <v>242</v>
      </c>
      <c r="B20" t="s">
        <v>1344</v>
      </c>
      <c r="C20" t="s">
        <v>1494</v>
      </c>
      <c r="D20" s="5">
        <v>0.37</v>
      </c>
      <c r="E20">
        <v>1</v>
      </c>
      <c r="F20">
        <v>10</v>
      </c>
    </row>
    <row r="21" spans="1:6">
      <c r="A21" t="s">
        <v>242</v>
      </c>
      <c r="B21" t="s">
        <v>764</v>
      </c>
      <c r="C21" t="s">
        <v>1492</v>
      </c>
      <c r="D21" s="5">
        <v>0.176</v>
      </c>
      <c r="E21">
        <v>1</v>
      </c>
      <c r="F21">
        <v>10</v>
      </c>
    </row>
    <row r="22" spans="1:6">
      <c r="A22" t="s">
        <v>242</v>
      </c>
      <c r="B22" t="s">
        <v>762</v>
      </c>
      <c r="C22" t="s">
        <v>175</v>
      </c>
      <c r="D22" s="5">
        <v>0.16</v>
      </c>
      <c r="E22">
        <v>1</v>
      </c>
      <c r="F22">
        <v>10</v>
      </c>
    </row>
    <row r="23" spans="1:6">
      <c r="A23" t="s">
        <v>242</v>
      </c>
      <c r="B23" t="s">
        <v>1495</v>
      </c>
      <c r="C23" t="s">
        <v>1492</v>
      </c>
      <c r="D23" s="5">
        <v>0.2</v>
      </c>
      <c r="E23">
        <v>1</v>
      </c>
      <c r="F23">
        <v>7.69231</v>
      </c>
    </row>
    <row r="24" spans="1:6">
      <c r="A24" t="s">
        <v>265</v>
      </c>
      <c r="B24" t="s">
        <v>1496</v>
      </c>
      <c r="C24" t="s">
        <v>175</v>
      </c>
      <c r="D24" s="5">
        <v>0.71</v>
      </c>
      <c r="E24">
        <v>1</v>
      </c>
      <c r="F24">
        <v>1</v>
      </c>
    </row>
    <row r="25" spans="1:6">
      <c r="A25" t="s">
        <v>254</v>
      </c>
      <c r="B25" t="s">
        <v>1497</v>
      </c>
      <c r="C25" t="s">
        <v>175</v>
      </c>
      <c r="D25" s="5">
        <v>0.47</v>
      </c>
      <c r="E25">
        <v>1</v>
      </c>
      <c r="F25">
        <v>2</v>
      </c>
    </row>
    <row r="26" spans="1:6">
      <c r="A26" t="s">
        <v>251</v>
      </c>
      <c r="B26" t="s">
        <v>760</v>
      </c>
      <c r="C26" t="s">
        <v>175</v>
      </c>
      <c r="D26" s="5">
        <v>1</v>
      </c>
      <c r="E26">
        <v>1</v>
      </c>
      <c r="F26">
        <v>1</v>
      </c>
    </row>
    <row r="27" spans="1:6">
      <c r="A27" t="s">
        <v>251</v>
      </c>
      <c r="B27" t="s">
        <v>1346</v>
      </c>
      <c r="C27" t="s">
        <v>175</v>
      </c>
      <c r="D27" s="5">
        <v>0.33</v>
      </c>
      <c r="E27">
        <v>1</v>
      </c>
      <c r="F27">
        <v>1</v>
      </c>
    </row>
    <row r="28" spans="1:6">
      <c r="A28" t="s">
        <v>251</v>
      </c>
      <c r="B28" t="s">
        <v>1346</v>
      </c>
      <c r="C28" t="s">
        <v>1498</v>
      </c>
      <c r="D28" s="5">
        <v>2</v>
      </c>
      <c r="E28">
        <v>1</v>
      </c>
      <c r="F28">
        <v>1</v>
      </c>
    </row>
    <row r="29" spans="1:6">
      <c r="A29" t="s">
        <v>251</v>
      </c>
      <c r="B29" t="s">
        <v>758</v>
      </c>
      <c r="C29" t="s">
        <v>175</v>
      </c>
      <c r="D29" s="5">
        <v>0.3</v>
      </c>
      <c r="E29">
        <v>6</v>
      </c>
      <c r="F29">
        <v>1</v>
      </c>
    </row>
    <row r="30" spans="1:6">
      <c r="A30" t="s">
        <v>251</v>
      </c>
      <c r="B30" t="s">
        <v>1347</v>
      </c>
      <c r="C30" t="s">
        <v>175</v>
      </c>
      <c r="D30" s="5">
        <v>1.39</v>
      </c>
      <c r="E30">
        <v>1</v>
      </c>
      <c r="F30">
        <v>1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7"/>
  <sheetViews>
    <sheetView workbookViewId="0">
      <selection activeCell="C25" sqref="C25"/>
    </sheetView>
  </sheetViews>
  <sheetFormatPr defaultColWidth="9" defaultRowHeight="14.25" outlineLevelCol="7"/>
  <cols>
    <col min="1" max="2" width="15.125" customWidth="1"/>
  </cols>
  <sheetData>
    <row r="1" spans="1:8">
      <c r="A1" t="s">
        <v>1483</v>
      </c>
      <c r="B1" t="s">
        <v>46</v>
      </c>
      <c r="C1" t="s">
        <v>18</v>
      </c>
      <c r="D1" t="s">
        <v>100</v>
      </c>
      <c r="E1" t="s">
        <v>165</v>
      </c>
      <c r="F1" t="s">
        <v>1484</v>
      </c>
      <c r="G1" t="s">
        <v>1485</v>
      </c>
      <c r="H1" t="s">
        <v>174</v>
      </c>
    </row>
    <row r="2" spans="1:8">
      <c r="A2" t="s">
        <v>258</v>
      </c>
      <c r="B2" t="s">
        <v>175</v>
      </c>
      <c r="C2">
        <v>1</v>
      </c>
      <c r="D2" s="1">
        <v>0.664</v>
      </c>
      <c r="E2">
        <v>1</v>
      </c>
      <c r="F2">
        <v>1</v>
      </c>
      <c r="G2" s="4">
        <v>6</v>
      </c>
      <c r="H2" t="s">
        <v>1446</v>
      </c>
    </row>
    <row r="3" spans="1:8">
      <c r="A3" t="s">
        <v>258</v>
      </c>
      <c r="B3" t="s">
        <v>175</v>
      </c>
      <c r="C3">
        <v>10</v>
      </c>
      <c r="D3" s="2">
        <v>1.33</v>
      </c>
      <c r="E3">
        <v>1</v>
      </c>
      <c r="F3">
        <v>1</v>
      </c>
      <c r="G3" s="4">
        <v>6</v>
      </c>
      <c r="H3" t="s">
        <v>1446</v>
      </c>
    </row>
    <row r="4" spans="1:8">
      <c r="A4" t="s">
        <v>255</v>
      </c>
      <c r="B4" t="s">
        <v>175</v>
      </c>
      <c r="C4">
        <v>1</v>
      </c>
      <c r="D4" s="2">
        <v>1.27</v>
      </c>
      <c r="E4">
        <v>1</v>
      </c>
      <c r="F4">
        <v>1</v>
      </c>
      <c r="G4" s="4">
        <v>2</v>
      </c>
      <c r="H4" t="s">
        <v>1447</v>
      </c>
    </row>
    <row r="5" spans="1:8">
      <c r="A5" t="s">
        <v>255</v>
      </c>
      <c r="B5" t="s">
        <v>175</v>
      </c>
      <c r="C5">
        <v>10</v>
      </c>
      <c r="D5" s="2">
        <v>2.53</v>
      </c>
      <c r="E5">
        <v>1</v>
      </c>
      <c r="F5">
        <v>1</v>
      </c>
      <c r="G5" s="4">
        <v>2</v>
      </c>
      <c r="H5" t="s">
        <v>1447</v>
      </c>
    </row>
    <row r="6" customFormat="1" spans="1:5">
      <c r="A6" t="s">
        <v>270</v>
      </c>
      <c r="B6" t="s">
        <v>160</v>
      </c>
      <c r="C6">
        <v>1</v>
      </c>
      <c r="D6" s="2">
        <v>3.46</v>
      </c>
      <c r="E6">
        <v>1</v>
      </c>
    </row>
    <row r="7" customFormat="1" spans="1:5">
      <c r="A7" t="s">
        <v>270</v>
      </c>
      <c r="B7" t="s">
        <v>1453</v>
      </c>
      <c r="C7">
        <v>1</v>
      </c>
      <c r="D7" s="3">
        <v>4.09</v>
      </c>
      <c r="E7">
        <v>1</v>
      </c>
    </row>
    <row r="8" customFormat="1" spans="1:5">
      <c r="A8" t="s">
        <v>270</v>
      </c>
      <c r="B8" t="s">
        <v>1454</v>
      </c>
      <c r="C8">
        <v>1</v>
      </c>
      <c r="D8" s="3">
        <v>2</v>
      </c>
      <c r="E8">
        <v>2</v>
      </c>
    </row>
    <row r="9" customFormat="1" spans="1:5">
      <c r="A9" t="s">
        <v>270</v>
      </c>
      <c r="B9" t="s">
        <v>1455</v>
      </c>
      <c r="C9">
        <v>1</v>
      </c>
      <c r="D9" s="3">
        <v>7.55</v>
      </c>
      <c r="E9">
        <v>1</v>
      </c>
    </row>
    <row r="10" customFormat="1" spans="1:5">
      <c r="A10" t="s">
        <v>270</v>
      </c>
      <c r="B10" t="s">
        <v>1459</v>
      </c>
      <c r="C10">
        <v>1</v>
      </c>
      <c r="D10" s="3">
        <v>0.51</v>
      </c>
      <c r="E10">
        <v>1</v>
      </c>
    </row>
    <row r="11" customFormat="1" spans="1:5">
      <c r="A11" t="s">
        <v>270</v>
      </c>
      <c r="B11" t="s">
        <v>1457</v>
      </c>
      <c r="C11">
        <v>1</v>
      </c>
      <c r="D11" s="3">
        <v>0.73</v>
      </c>
      <c r="E11">
        <v>1</v>
      </c>
    </row>
    <row r="12" customFormat="1" spans="1:5">
      <c r="A12" t="s">
        <v>270</v>
      </c>
      <c r="B12" t="s">
        <v>1458</v>
      </c>
      <c r="C12">
        <v>1</v>
      </c>
      <c r="D12" s="3">
        <v>8.48</v>
      </c>
      <c r="E12">
        <v>1</v>
      </c>
    </row>
    <row r="13" customFormat="1" spans="1:5">
      <c r="A13" t="s">
        <v>270</v>
      </c>
      <c r="B13" t="s">
        <v>1499</v>
      </c>
      <c r="C13">
        <v>1</v>
      </c>
      <c r="D13" s="3">
        <v>10.27</v>
      </c>
      <c r="E13">
        <v>1</v>
      </c>
    </row>
    <row r="14" spans="1:5">
      <c r="A14" t="s">
        <v>270</v>
      </c>
      <c r="B14" t="s">
        <v>160</v>
      </c>
      <c r="C14">
        <v>10</v>
      </c>
      <c r="D14" s="2">
        <v>6.97</v>
      </c>
      <c r="E14">
        <v>1</v>
      </c>
    </row>
    <row r="15" spans="1:5">
      <c r="A15" t="s">
        <v>270</v>
      </c>
      <c r="B15" t="s">
        <v>1453</v>
      </c>
      <c r="C15">
        <v>10</v>
      </c>
      <c r="D15" s="3">
        <v>8.14</v>
      </c>
      <c r="E15">
        <v>1</v>
      </c>
    </row>
    <row r="16" spans="1:5">
      <c r="A16" t="s">
        <v>270</v>
      </c>
      <c r="B16" t="s">
        <v>1454</v>
      </c>
      <c r="C16">
        <v>10</v>
      </c>
      <c r="D16" s="3">
        <v>4.07</v>
      </c>
      <c r="E16">
        <v>2</v>
      </c>
    </row>
    <row r="17" spans="1:5">
      <c r="A17" t="s">
        <v>270</v>
      </c>
      <c r="B17" t="s">
        <v>1455</v>
      </c>
      <c r="C17">
        <v>10</v>
      </c>
      <c r="D17" s="3">
        <v>15.11</v>
      </c>
      <c r="E17">
        <v>1</v>
      </c>
    </row>
    <row r="18" spans="1:5">
      <c r="A18" t="s">
        <v>270</v>
      </c>
      <c r="B18" t="s">
        <v>1459</v>
      </c>
      <c r="C18">
        <v>10</v>
      </c>
      <c r="D18" s="3">
        <v>0.51</v>
      </c>
      <c r="E18">
        <v>1</v>
      </c>
    </row>
    <row r="19" spans="1:5">
      <c r="A19" t="s">
        <v>270</v>
      </c>
      <c r="B19" t="s">
        <v>1457</v>
      </c>
      <c r="C19">
        <v>10</v>
      </c>
      <c r="D19" s="3">
        <v>0.73</v>
      </c>
      <c r="E19">
        <v>1</v>
      </c>
    </row>
    <row r="20" spans="1:5">
      <c r="A20" t="s">
        <v>270</v>
      </c>
      <c r="B20" t="s">
        <v>1458</v>
      </c>
      <c r="C20">
        <v>10</v>
      </c>
      <c r="D20" s="3">
        <v>17.03</v>
      </c>
      <c r="E20">
        <v>1</v>
      </c>
    </row>
    <row r="21" spans="1:5">
      <c r="A21" t="s">
        <v>270</v>
      </c>
      <c r="B21" t="s">
        <v>1499</v>
      </c>
      <c r="C21">
        <v>10</v>
      </c>
      <c r="D21" s="3">
        <v>20.62</v>
      </c>
      <c r="E21">
        <v>1</v>
      </c>
    </row>
    <row r="22" customFormat="1" spans="1:5">
      <c r="A22" t="s">
        <v>272</v>
      </c>
      <c r="B22" t="s">
        <v>160</v>
      </c>
      <c r="C22">
        <v>1</v>
      </c>
      <c r="D22" s="3">
        <v>0.19</v>
      </c>
      <c r="E22">
        <v>1</v>
      </c>
    </row>
    <row r="23" customFormat="1" spans="1:5">
      <c r="A23" t="s">
        <v>272</v>
      </c>
      <c r="B23" t="s">
        <v>1453</v>
      </c>
      <c r="C23">
        <v>1</v>
      </c>
      <c r="D23" s="3">
        <v>0.2</v>
      </c>
      <c r="E23">
        <v>1</v>
      </c>
    </row>
    <row r="24" customFormat="1" spans="1:5">
      <c r="A24" t="s">
        <v>272</v>
      </c>
      <c r="B24" t="s">
        <v>1454</v>
      </c>
      <c r="C24">
        <v>1</v>
      </c>
      <c r="D24" s="3">
        <v>0.26</v>
      </c>
      <c r="E24">
        <v>1</v>
      </c>
    </row>
    <row r="25" customFormat="1" spans="1:5">
      <c r="A25" t="s">
        <v>272</v>
      </c>
      <c r="B25" t="s">
        <v>1455</v>
      </c>
      <c r="C25">
        <v>1</v>
      </c>
      <c r="D25" s="3">
        <v>0.35</v>
      </c>
      <c r="E25">
        <v>1</v>
      </c>
    </row>
    <row r="26" customFormat="1" spans="1:5">
      <c r="A26" t="s">
        <v>272</v>
      </c>
      <c r="B26" t="s">
        <v>1456</v>
      </c>
      <c r="C26">
        <v>1</v>
      </c>
      <c r="D26" s="3">
        <v>0.42</v>
      </c>
      <c r="E26">
        <v>1</v>
      </c>
    </row>
    <row r="27" customFormat="1" spans="1:5">
      <c r="A27" t="s">
        <v>272</v>
      </c>
      <c r="B27" t="s">
        <v>1458</v>
      </c>
      <c r="C27">
        <v>1</v>
      </c>
      <c r="D27" s="3">
        <v>1.13</v>
      </c>
      <c r="E27">
        <v>1</v>
      </c>
    </row>
    <row r="28" customFormat="1" spans="1:5">
      <c r="A28" t="s">
        <v>272</v>
      </c>
      <c r="B28" t="s">
        <v>1457</v>
      </c>
      <c r="C28">
        <v>1</v>
      </c>
      <c r="D28" s="3">
        <v>0.51</v>
      </c>
      <c r="E28">
        <v>1</v>
      </c>
    </row>
    <row r="29" customFormat="1" spans="1:5">
      <c r="A29" t="s">
        <v>272</v>
      </c>
      <c r="B29" t="s">
        <v>1500</v>
      </c>
      <c r="C29">
        <v>1</v>
      </c>
      <c r="D29" s="3">
        <v>2.09</v>
      </c>
      <c r="E29">
        <v>1</v>
      </c>
    </row>
    <row r="30" customFormat="1" spans="1:5">
      <c r="A30" t="s">
        <v>272</v>
      </c>
      <c r="B30" t="s">
        <v>1501</v>
      </c>
      <c r="C30">
        <v>1</v>
      </c>
      <c r="D30">
        <v>259</v>
      </c>
      <c r="E30">
        <v>1</v>
      </c>
    </row>
    <row r="31" customFormat="1" spans="1:5">
      <c r="A31" t="s">
        <v>272</v>
      </c>
      <c r="B31" t="s">
        <v>1502</v>
      </c>
      <c r="C31">
        <v>1</v>
      </c>
      <c r="D31" s="3">
        <v>2.91</v>
      </c>
      <c r="E31">
        <v>1</v>
      </c>
    </row>
    <row r="32" customFormat="1" spans="1:5">
      <c r="A32" t="s">
        <v>272</v>
      </c>
      <c r="B32" t="s">
        <v>1503</v>
      </c>
      <c r="C32">
        <v>1</v>
      </c>
      <c r="D32" s="3">
        <v>4</v>
      </c>
      <c r="E32">
        <v>1</v>
      </c>
    </row>
    <row r="33" customFormat="1" spans="1:5">
      <c r="A33" t="s">
        <v>272</v>
      </c>
      <c r="B33" t="s">
        <v>1504</v>
      </c>
      <c r="C33">
        <v>1</v>
      </c>
      <c r="D33" s="3">
        <v>4.34</v>
      </c>
      <c r="E33">
        <v>1</v>
      </c>
    </row>
    <row r="34" spans="1:5">
      <c r="A34" t="s">
        <v>272</v>
      </c>
      <c r="B34" t="s">
        <v>1505</v>
      </c>
      <c r="C34">
        <v>1</v>
      </c>
      <c r="D34" s="3">
        <v>2.09</v>
      </c>
      <c r="E34">
        <v>1</v>
      </c>
    </row>
    <row r="35" spans="1:5">
      <c r="A35" t="s">
        <v>272</v>
      </c>
      <c r="B35" t="s">
        <v>160</v>
      </c>
      <c r="C35">
        <v>10</v>
      </c>
      <c r="D35" s="2">
        <v>0.37</v>
      </c>
      <c r="E35">
        <v>1</v>
      </c>
    </row>
    <row r="36" spans="1:5">
      <c r="A36" t="s">
        <v>272</v>
      </c>
      <c r="B36" t="s">
        <v>1453</v>
      </c>
      <c r="C36">
        <v>10</v>
      </c>
      <c r="D36" s="2">
        <v>0.47</v>
      </c>
      <c r="E36">
        <v>1</v>
      </c>
    </row>
    <row r="37" spans="1:5">
      <c r="A37" t="s">
        <v>272</v>
      </c>
      <c r="B37" t="s">
        <v>1454</v>
      </c>
      <c r="C37">
        <v>10</v>
      </c>
      <c r="D37" s="2">
        <v>0.53</v>
      </c>
      <c r="E37">
        <v>1</v>
      </c>
    </row>
    <row r="38" spans="1:5">
      <c r="A38" t="s">
        <v>272</v>
      </c>
      <c r="B38" t="s">
        <v>1455</v>
      </c>
      <c r="C38">
        <v>10</v>
      </c>
      <c r="D38" s="2">
        <v>0.71</v>
      </c>
      <c r="E38">
        <v>1</v>
      </c>
    </row>
    <row r="39" spans="1:5">
      <c r="A39" t="s">
        <v>272</v>
      </c>
      <c r="B39" t="s">
        <v>1456</v>
      </c>
      <c r="C39">
        <v>10</v>
      </c>
      <c r="D39" s="2">
        <v>0.85</v>
      </c>
      <c r="E39">
        <v>1</v>
      </c>
    </row>
    <row r="40" spans="1:5">
      <c r="A40" t="s">
        <v>272</v>
      </c>
      <c r="B40" t="s">
        <v>1458</v>
      </c>
      <c r="C40">
        <v>10</v>
      </c>
      <c r="D40" s="2">
        <v>1.13</v>
      </c>
      <c r="E40">
        <v>1</v>
      </c>
    </row>
    <row r="41" spans="1:5">
      <c r="A41" t="s">
        <v>272</v>
      </c>
      <c r="B41" t="s">
        <v>1457</v>
      </c>
      <c r="C41">
        <v>10</v>
      </c>
      <c r="D41" s="2">
        <v>0.51</v>
      </c>
      <c r="E41">
        <v>1</v>
      </c>
    </row>
    <row r="42" spans="1:5">
      <c r="A42" t="s">
        <v>272</v>
      </c>
      <c r="B42" t="s">
        <v>1500</v>
      </c>
      <c r="C42">
        <v>10</v>
      </c>
      <c r="D42" s="2">
        <v>4.16</v>
      </c>
      <c r="E42">
        <v>1</v>
      </c>
    </row>
    <row r="43" spans="1:5">
      <c r="A43" t="s">
        <v>272</v>
      </c>
      <c r="B43" t="s">
        <v>1501</v>
      </c>
      <c r="C43">
        <v>10</v>
      </c>
      <c r="D43" s="2">
        <v>5.2</v>
      </c>
      <c r="E43">
        <v>1</v>
      </c>
    </row>
    <row r="44" spans="1:5">
      <c r="A44" t="s">
        <v>272</v>
      </c>
      <c r="B44" t="s">
        <v>1502</v>
      </c>
      <c r="C44">
        <v>10</v>
      </c>
      <c r="D44" s="2">
        <v>5.88</v>
      </c>
      <c r="E44">
        <v>1</v>
      </c>
    </row>
    <row r="45" spans="1:5">
      <c r="A45" t="s">
        <v>272</v>
      </c>
      <c r="B45" t="s">
        <v>1503</v>
      </c>
      <c r="C45">
        <v>10</v>
      </c>
      <c r="D45" s="2">
        <v>7.96</v>
      </c>
      <c r="E45">
        <v>1</v>
      </c>
    </row>
    <row r="46" spans="1:5">
      <c r="A46" t="s">
        <v>272</v>
      </c>
      <c r="B46" t="s">
        <v>1504</v>
      </c>
      <c r="C46">
        <v>10</v>
      </c>
      <c r="D46" s="2">
        <v>8.66</v>
      </c>
      <c r="E46">
        <v>1</v>
      </c>
    </row>
    <row r="47" spans="1:5">
      <c r="A47" t="s">
        <v>272</v>
      </c>
      <c r="B47" t="s">
        <v>1505</v>
      </c>
      <c r="C47">
        <v>10</v>
      </c>
      <c r="D47">
        <v>416</v>
      </c>
      <c r="E47">
        <v>1</v>
      </c>
    </row>
  </sheetData>
  <sheetProtection formatCells="0" insertHyperlinks="0" autoFilter="0"/>
  <pageMargins left="0.7" right="0.7" top="0.75" bottom="0.75" header="0.3" footer="0.3"/>
  <headerFooter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omments xmlns="https://web.wps.cn/et/2018/main" xmlns:s="http://schemas.openxmlformats.org/spreadsheetml/2006/main">
  <commentList sheetStid="1">
    <commentChains s:ref="A35" rgbClr="FF0000">
      <unresolved>
        <commentChain chainId="7e9086b1bcdff734e1aaf75f1fe8ab28d214d4fc">
          <item id="2321b69a8b72c744ec18e79e55530ab50255f7a3" isNormal="1">
            <s:text>
              <s:r>
                <s:t xml:space="preserve">pa:
每3秒回复的神智</s:t>
              </s:r>
            </s:text>
          </item>
        </commentChain>
      </unresolved>
      <resolved/>
    </commentChains>
    <commentChains s:ref="A36" rgbClr="FF0000">
      <unresolved>
        <commentChain chainId="f578c2cfd7266f6473b80abde1234ab6efa81471">
          <item id="66c909b8bba73e93cf912e4f82c5615f8b81255f" isNormal="1">
            <s:text>
              <s:r>
                <s:t xml:space="preserve">pa:
无额外回复情况下神智耗尽所用时间</s:t>
              </s:r>
            </s:text>
          </item>
        </commentChain>
      </unresolved>
      <resolved/>
    </commentChains>
    <commentChains s:ref="A39" rgbClr="FF0000">
      <unresolved>
        <commentChain chainId="1fbdab2e910426464c2a4ac051af5096c42243d0">
          <item id="5507ab6664a772f732ad2b02159ccbe7713a27f0" isNormal="1">
            <s:text>
              <s:r>
                <s:t xml:space="preserve">pa:
DPMP=每蓝耗伤害
DPSMP=每持续蓝耗伤害</s:t>
              </s:r>
            </s:text>
          </item>
        </commentChain>
      </unresolved>
      <resolved/>
    </commentChains>
    <commentChains s:ref="B49" rgbClr="FF0000">
      <unresolved>
        <commentChain chainId="b5c641447f117d48c76c4fe15f2bf0adf5e154ed">
          <item id="bba6a1a4a5c893360f79770b3bdd0db3dc49f58d" isNormal="1">
            <s:text>
              <s:r>
                <s:t xml:space="preserve">pa:
去掉最后一次攻击之后的无效持续时间</s:t>
              </s:r>
            </s:text>
          </item>
        </commentChain>
      </unresolved>
      <resolved/>
    </commentChains>
    <commentChains s:ref="B51" rgbClr="FF0000">
      <unresolved>
        <commentChain chainId="56ebc940dc4a19c82e56984381f166d0c1ee7b27">
          <item id="e23b9d9fcc2f0487fb3bf51a3b86829efe492f9b" isNormal="1">
            <s:text>
              <s:r>
                <s:t xml:space="preserve">pa:
DPS=总伤/有效持续</s:t>
              </s:r>
            </s:text>
          </item>
        </commentChain>
      </unresolved>
      <resolved/>
    </commentChains>
    <commentChains s:ref="D81" rgbClr="FF0000">
      <unresolved>
        <commentChain chainId="ac5462e9b60424565bb9b9c7e0de8e01af7bb435">
          <item id="00250ab7742f4466c7024a241a1c9ad4df6e0f17" isNormal="1">
            <s:text>
              <s:r>
                <s:t xml:space="preserve">pa:
同时考虑触发和暴击的期望伤害</s:t>
              </s:r>
            </s:text>
          </item>
        </commentChain>
      </unresolved>
      <resolved/>
    </commentChains>
    <commentChains s:ref="B96" rgbClr="FF0000">
      <unresolved>
        <commentChain chainId="893e286fec25296a0fa9d36062afd60fe25bec69">
          <item id="e1dc59e106aaf0834a5dfa4667003a0d00a5ccf7" isNormal="1">
            <s:text>
              <s:r>
                <s:t xml:space="preserve">pa:
非弹道武器多重不增加子弹数量只影响伤害倍率</s:t>
              </s:r>
            </s:text>
          </item>
        </commentChain>
      </unresolved>
      <resolved/>
    </commentChains>
    <commentChains s:ref="D113" rgbClr="FF0000">
      <unresolved>
        <commentChain chainId="6fc46674c8ec87edb3b63b532c59290dadaa315b">
          <item id="da22eaa88ebb88b31e53ae631824f84080e2ffe7" isNormal="1">
            <s:text>
              <s:r>
                <s:t xml:space="preserve">pa:
同时考虑触发和暴击的期望伤害</s:t>
              </s:r>
            </s:text>
          </item>
        </commentChain>
      </unresolved>
      <resolved/>
    </commentChains>
    <commentChains s:ref="B127" rgbClr="FF0000">
      <unresolved>
        <commentChain chainId="181e6c0725fc331389a2a6cbdc1de3a6e3a14cb0">
          <item id="72d28e3c578fb99c7954222096036fb865b521c0" isNormal="1">
            <s:text>
              <s:r>
                <s:t xml:space="preserve">pa:
非弹道武器多重不增加子弹数量只影响伤害倍率</s:t>
              </s:r>
            </s:text>
          </item>
        </commentChain>
      </unresolved>
      <resolved/>
    </commentChains>
    <commentChains s:ref="D139" rgbClr="FF0000">
      <unresolved>
        <commentChain chainId="ecc6d12c84103f9a787aa8cc5d9e895a42e156a8">
          <item id="4848e62c67d541f9021789ea01808350cb943b94" isNormal="1">
            <s:text>
              <s:r>
                <s:t xml:space="preserve">pa:
同时考虑触发和暴击的期望伤害</s:t>
              </s:r>
            </s:text>
          </item>
        </commentChain>
      </unresolved>
      <resolved/>
    </commentChains>
  </commentList>
</comment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  <woSheetProps sheetStid="16" interlineOnOff="0" interlineColor="0" isDbSheet="0" isDashBoardSheet="0" isDbDashBoardSheet="0" isFlexPaperSheet="0">
      <cellprotection/>
      <appEtDbRelations/>
    </woSheetProps>
    <woSheetProps sheetStid="21" interlineOnOff="0" interlineColor="0" isDbSheet="0" isDashBoardSheet="0" isDbDashBoardSheet="0" isFlexPaperSheet="0">
      <cellprotection/>
      <appEtDbRelations/>
    </woSheetProps>
    <woSheetProps sheetStid="2" interlineOnOff="0" interlineColor="0" isDbSheet="0" isDashBoardSheet="0" isDbDashBoardSheet="0" isFlexPaperSheet="0">
      <cellprotection/>
      <appEtDbRelations/>
    </woSheetProps>
    <woSheetProps sheetStid="11" interlineOnOff="0" interlineColor="0" isDbSheet="0" isDashBoardSheet="0" isDbDashBoardSheet="0" isFlexPaperSheet="0">
      <cellprotection/>
      <appEtDbRelations/>
    </woSheetProps>
    <woSheetProps sheetStid="6" interlineOnOff="0" interlineColor="0" isDbSheet="0" isDashBoardSheet="0" isDbDashBoardSheet="0" isFlexPaperSheet="0">
      <cellprotection/>
      <appEtDbRelations/>
    </woSheetProps>
    <woSheetProps sheetStid="17" interlineOnOff="0" interlineColor="0" isDbSheet="0" isDashBoardSheet="0" isDbDashBoardSheet="0" isFlexPaperSheet="0">
      <cellprotection/>
      <appEtDbRelations/>
    </woSheetProps>
    <woSheetProps sheetStid="18" interlineOnOff="0" interlineColor="0" isDbSheet="0" isDashBoardSheet="0" isDbDashBoardSheet="0" isFlexPaperSheet="0">
      <cellprotection/>
      <appEtDbRelations/>
    </woSheetProps>
    <woSheetProps sheetStid="3" interlineOnOff="0" interlineColor="0" isDbSheet="0" isDashBoardSheet="0" isDbDashBoardSheet="0" isFlexPaperSheet="0">
      <cellprotection/>
      <appEtDbRelations/>
    </woSheetProps>
    <woSheetProps sheetStid="8" interlineOnOff="0" interlineColor="0" isDbSheet="0" isDashBoardSheet="0" isDbDashBoardSheet="0" isFlexPaperSheet="0">
      <cellprotection/>
      <appEtDbRelations/>
    </woSheetProps>
    <woSheetProps sheetStid="4" interlineOnOff="0" interlineColor="0" isDbSheet="0" isDashBoardSheet="0" isDbDashBoardSheet="0" isFlexPaperSheet="0">
      <cellprotection/>
      <appEtDbRelations/>
    </woSheetProps>
    <woSheetProps sheetStid="5" interlineOnOff="0" interlineColor="0" isDbSheet="0" isDashBoardSheet="0" isDbDashBoardSheet="0" isFlexPaperSheet="0">
      <cellprotection/>
      <appEtDbRelations/>
    </woSheetProps>
    <woSheetProps sheetStid="14" interlineOnOff="0" interlineColor="0" isDbSheet="0" isDashBoardSheet="0" isDbDashBoardSheet="0" isFlexPaperSheet="0">
      <cellprotection/>
      <appEtDbRelations/>
    </woSheetProps>
    <woSheetProps sheetStid="15" interlineOnOff="0" interlineColor="0" isDbSheet="0" isDashBoardSheet="0" isDbDashBoardSheet="0" isFlexPaperSheet="0">
      <cellprotection/>
      <appEtDbRelations/>
    </woSheetProps>
    <woSheetProps sheetStid="19" interlineOnOff="0" interlineColor="0" isDbSheet="0" isDashBoardSheet="0" isDbDashBoardSheet="0" isFlexPaperSheet="0">
      <cellprotection/>
      <appEtDbRelations/>
    </woSheetProps>
  </woSheetsProps>
  <woBookProps>
    <bookSettings fileId="048833bd85b7fa94a78bd9bc3c1da49865883053" isFilterShared="1" coreConquerUserId="" isAutoUpdatePaused="0" filterType="conn" isMergeTasksAutoUpdate="0" isInserPicAsAttachment="0"/>
  </woBookProps>
</woProps>
</file>

<file path=customXml/item3.xml><?xml version="1.0" encoding="utf-8"?>
<pixelators xmlns="https://web.wps.cn/et/2018/main" xmlns:s="http://schemas.openxmlformats.org/spreadsheetml/2006/main">
  <pixelatorList sheetStid="1"/>
  <pixelatorList sheetStid="16"/>
  <pixelatorList sheetStid="21"/>
  <pixelatorList sheetStid="2"/>
  <pixelatorList sheetStid="11"/>
  <pixelatorList sheetStid="6"/>
  <pixelatorList sheetStid="17"/>
  <pixelatorList sheetStid="18"/>
  <pixelatorList sheetStid="3"/>
  <pixelatorList sheetStid="8"/>
  <pixelatorList sheetStid="4"/>
  <pixelatorList sheetStid="5"/>
  <pixelatorList sheetStid="14"/>
  <pixelatorList sheetStid="15"/>
  <pixelatorList sheetStid="19"/>
  <pixelatorList sheetStid="22"/>
</pixelators>
</file>

<file path=customXml/itemProps1.xml><?xml version="1.0" encoding="utf-8"?>
<ds:datastoreItem xmlns:ds="http://schemas.openxmlformats.org/officeDocument/2006/customXml" ds:itemID="{06A0048C-2381-489B-AA07-9611017176EA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customXml/itemProps3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WWO_base_provider_20250722104458-4835d61a2e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伤害计算</vt:lpstr>
      <vt:lpstr>怪物</vt:lpstr>
      <vt:lpstr>血量曲线</vt:lpstr>
      <vt:lpstr>角色</vt:lpstr>
      <vt:lpstr>技能</vt:lpstr>
      <vt:lpstr>BUFF</vt:lpstr>
      <vt:lpstr>烛芯</vt:lpstr>
      <vt:lpstr>代码</vt:lpstr>
      <vt:lpstr>角色MOD</vt:lpstr>
      <vt:lpstr>武器MOD</vt:lpstr>
      <vt:lpstr>武器</vt:lpstr>
      <vt:lpstr>远程武器</vt:lpstr>
      <vt:lpstr>近战倍率</vt:lpstr>
      <vt:lpstr>远程倍率</vt:lpstr>
      <vt:lpstr>同律倍率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呜喵 火柴</dc:creator>
  <cp:lastModifiedBy>呜喵 火柴</cp:lastModifiedBy>
  <dcterms:created xsi:type="dcterms:W3CDTF">2025-11-15T23:50:00Z</dcterms:created>
  <dcterms:modified xsi:type="dcterms:W3CDTF">2025-12-06T01:48:00Z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